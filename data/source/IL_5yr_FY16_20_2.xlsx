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weckle\Box\Lin_IWRC\IWRC2020-ProgramDevelopment\IWRC2020-2021-NIWR\IWRC_104B_Annual_Reports\IWRC2023-Program Evaluation 2016-2020\"/>
    </mc:Choice>
  </mc:AlternateContent>
  <xr:revisionPtr revIDLastSave="0" documentId="13_ncr:1_{11F7BB47-C308-4C67-B94F-E731601A28C7}" xr6:coauthVersionLast="47" xr6:coauthVersionMax="47" xr10:uidLastSave="{00000000-0000-0000-0000-000000000000}"/>
  <bookViews>
    <workbookView xWindow="-120" yWindow="-120" windowWidth="38640" windowHeight="21120" xr2:uid="{00004B56-AB38-4C9E-B574-353C35A73CAF}"/>
  </bookViews>
  <sheets>
    <sheet name="Info" sheetId="14" r:id="rId1"/>
    <sheet name="Institute Background" sheetId="20" r:id="rId2"/>
    <sheet name="Advisory Board" sheetId="24" r:id="rId3"/>
    <sheet name="Scientific Integrity" sheetId="25" r:id="rId4"/>
    <sheet name="By Year Summary" sheetId="21" r:id="rId5"/>
    <sheet name="Significant Impact" sheetId="17" r:id="rId6"/>
    <sheet name="Project Overview" sheetId="2" r:id="rId7"/>
    <sheet name="Project Summaries" sheetId="16" r:id="rId8"/>
    <sheet name="Equipment" sheetId="23" r:id="rId9"/>
    <sheet name="doi_Products_ONLY" sheetId="1" r:id="rId10"/>
    <sheet name="otherProducts" sheetId="18" r:id="rId11"/>
    <sheet name="Awards-Achievements-Grants" sheetId="5" r:id="rId12"/>
    <sheet name="social media" sheetId="19" r:id="rId13"/>
    <sheet name="Conference Presentations" sheetId="11" r:id="rId14"/>
    <sheet name="Education and Outreach" sheetId="10" r:id="rId15"/>
    <sheet name="USGS Collaboration" sheetId="13" r:id="rId16"/>
    <sheet name="Other Activity" sheetId="9" r:id="rId17"/>
    <sheet name="2019_IL_Eval_results" sheetId="26" r:id="rId18"/>
    <sheet name="Keyword_drop_down_options" sheetId="7" r:id="rId19"/>
  </sheets>
  <definedNames>
    <definedName name="_Hlk107499372" localSheetId="7">'Project Summaries'!$B$4</definedName>
    <definedName name="_Hlk125463371" localSheetId="1">'Institute Background'!#REF!</definedName>
    <definedName name="_Hlk125463384" localSheetId="1">'Institute Background'!#REF!</definedName>
    <definedName name="_Hlk125463491" localSheetId="1">'Institute Background'!#REF!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3" i="23" l="1"/>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C18" i="20"/>
  <c r="D18" i="20"/>
  <c r="B18" i="20" s="1"/>
  <c r="A17" i="16"/>
  <c r="A11" i="16"/>
  <c r="A10" i="16"/>
  <c r="A232" i="16"/>
  <c r="A231" i="16"/>
  <c r="A230" i="16"/>
  <c r="A229" i="16"/>
  <c r="A228" i="16"/>
  <c r="A227" i="16"/>
  <c r="A226" i="16"/>
  <c r="A225" i="16"/>
  <c r="A224" i="16"/>
  <c r="A223" i="16"/>
  <c r="A222" i="16"/>
  <c r="A221" i="16"/>
  <c r="A220" i="16"/>
  <c r="A219"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72" i="16"/>
  <c r="A171" i="16"/>
  <c r="A170" i="16"/>
  <c r="A169" i="16"/>
  <c r="A168"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98" i="16"/>
  <c r="A97" i="16"/>
  <c r="A96" i="16"/>
  <c r="A95" i="16"/>
  <c r="A94" i="16"/>
  <c r="A93" i="16"/>
  <c r="A92" i="16"/>
  <c r="A91" i="16"/>
  <c r="A90" i="16"/>
  <c r="A89"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6" i="16"/>
  <c r="A15" i="16"/>
  <c r="A14" i="16"/>
  <c r="A13" i="16"/>
  <c r="A12" i="16"/>
  <c r="A9" i="16"/>
  <c r="A8" i="16"/>
  <c r="A7" i="16"/>
  <c r="A6" i="16"/>
  <c r="A5" i="16"/>
  <c r="A4" i="16"/>
  <c r="A3" i="16"/>
  <c r="A2" i="16"/>
  <c r="B19" i="20"/>
  <c r="B17" i="20"/>
  <c r="B16" i="20"/>
  <c r="A35" i="13"/>
  <c r="A36" i="13"/>
  <c r="A37" i="13"/>
  <c r="A38" i="13"/>
  <c r="A39" i="13"/>
  <c r="A40" i="13"/>
  <c r="A41" i="13"/>
  <c r="A42" i="13"/>
  <c r="A43" i="13"/>
  <c r="A44" i="13"/>
  <c r="A45" i="13"/>
  <c r="A46" i="13"/>
  <c r="A47" i="13"/>
  <c r="A48" i="13"/>
  <c r="A49" i="13"/>
  <c r="A50" i="13"/>
  <c r="A51" i="13"/>
  <c r="A52" i="13"/>
  <c r="A53" i="13"/>
  <c r="A54" i="13"/>
  <c r="A55" i="13"/>
  <c r="A56" i="13"/>
  <c r="A57" i="13"/>
  <c r="A58" i="13"/>
  <c r="A59" i="13"/>
  <c r="A60" i="13"/>
  <c r="A61" i="13"/>
  <c r="A62" i="13"/>
  <c r="A63" i="13"/>
  <c r="A64" i="13"/>
  <c r="A65" i="13"/>
  <c r="A66" i="13"/>
  <c r="A67" i="13"/>
  <c r="A68" i="13"/>
  <c r="A69" i="13"/>
  <c r="A70" i="13"/>
  <c r="A71" i="13"/>
  <c r="A72" i="13"/>
  <c r="A73" i="13"/>
  <c r="A74" i="13"/>
  <c r="A75" i="13"/>
  <c r="A76" i="13"/>
  <c r="A77" i="13"/>
  <c r="A78" i="13"/>
  <c r="A79" i="13"/>
  <c r="A80" i="13"/>
  <c r="A81" i="13"/>
  <c r="A82" i="13"/>
  <c r="A83" i="13"/>
  <c r="A84" i="13"/>
  <c r="A85" i="13"/>
  <c r="A86" i="13"/>
  <c r="A87" i="13"/>
  <c r="A88" i="13"/>
  <c r="A89" i="13"/>
  <c r="A90" i="13"/>
  <c r="A91" i="13"/>
  <c r="A92" i="13"/>
  <c r="A93" i="13"/>
  <c r="A94" i="13"/>
  <c r="A95" i="13"/>
  <c r="A96" i="13"/>
  <c r="A97" i="13"/>
  <c r="A98" i="13"/>
  <c r="A99" i="13"/>
  <c r="A100" i="13"/>
  <c r="A101" i="13"/>
  <c r="A102" i="13"/>
  <c r="A103" i="13"/>
  <c r="A104" i="13"/>
  <c r="A105" i="13"/>
  <c r="A106" i="13"/>
  <c r="A107" i="13"/>
  <c r="A108" i="13"/>
  <c r="A109" i="13"/>
  <c r="A110" i="13"/>
  <c r="A111" i="13"/>
  <c r="A112" i="13"/>
  <c r="A113" i="13"/>
  <c r="A114" i="13"/>
  <c r="A115" i="13"/>
  <c r="A116" i="13"/>
  <c r="A117" i="13"/>
  <c r="A118" i="13"/>
  <c r="A119" i="13"/>
  <c r="A120" i="13"/>
  <c r="A121" i="13"/>
  <c r="A122" i="13"/>
  <c r="A123" i="13"/>
  <c r="A124" i="13"/>
  <c r="A125" i="13"/>
  <c r="A126" i="13"/>
  <c r="A127" i="13"/>
  <c r="A128" i="13"/>
  <c r="A129" i="13"/>
  <c r="A130" i="13"/>
  <c r="A131" i="13"/>
  <c r="A132" i="13"/>
  <c r="A133" i="13"/>
  <c r="A134" i="13"/>
  <c r="A135" i="13"/>
  <c r="A136" i="13"/>
  <c r="A137" i="13"/>
  <c r="A138" i="13"/>
  <c r="A139" i="13"/>
  <c r="A140" i="13"/>
  <c r="A141" i="13"/>
  <c r="A142" i="13"/>
  <c r="A143" i="13"/>
  <c r="A144" i="13"/>
  <c r="A145" i="13"/>
  <c r="A146" i="13"/>
  <c r="A147" i="13"/>
  <c r="A148" i="13"/>
  <c r="A149" i="13"/>
  <c r="A150" i="13"/>
  <c r="A151" i="13"/>
  <c r="A152" i="13"/>
  <c r="A153" i="13"/>
  <c r="A154" i="13"/>
  <c r="A155" i="13"/>
  <c r="A156" i="13"/>
  <c r="A157" i="13"/>
  <c r="A158" i="13"/>
  <c r="A159" i="13"/>
  <c r="A160" i="13"/>
  <c r="A161" i="13"/>
  <c r="A162" i="13"/>
  <c r="A163" i="13"/>
  <c r="A164" i="13"/>
  <c r="A165" i="13"/>
  <c r="A166" i="13"/>
  <c r="A167" i="13"/>
  <c r="A168" i="13"/>
  <c r="A169" i="13"/>
  <c r="A170" i="13"/>
  <c r="A171" i="13"/>
  <c r="A172" i="13"/>
  <c r="A173" i="13"/>
  <c r="A174" i="13"/>
  <c r="A175" i="13"/>
  <c r="A176" i="13"/>
  <c r="A177" i="13"/>
  <c r="A178" i="13"/>
  <c r="A179" i="13"/>
  <c r="A180" i="13"/>
  <c r="A181" i="13"/>
  <c r="A182" i="13"/>
  <c r="A183" i="13"/>
  <c r="A184" i="13"/>
  <c r="A185" i="13"/>
  <c r="A186" i="13"/>
  <c r="A187" i="13"/>
  <c r="A188" i="13"/>
  <c r="A189" i="13"/>
  <c r="A190" i="13"/>
  <c r="A191" i="13"/>
  <c r="A192" i="13"/>
  <c r="A193" i="13"/>
  <c r="A194" i="13"/>
  <c r="A195" i="13"/>
  <c r="A196" i="13"/>
  <c r="A197" i="13"/>
  <c r="A198" i="13"/>
  <c r="A199" i="13"/>
  <c r="A200" i="13"/>
  <c r="A201" i="13"/>
  <c r="A202" i="13"/>
  <c r="A203" i="13"/>
  <c r="A204" i="13"/>
  <c r="A205" i="13"/>
  <c r="A206" i="13"/>
  <c r="A207" i="13"/>
  <c r="A208" i="13"/>
  <c r="A209" i="13"/>
  <c r="A210" i="13"/>
  <c r="A211" i="13"/>
  <c r="A212" i="13"/>
  <c r="A213" i="13"/>
  <c r="A214" i="13"/>
  <c r="A215" i="13"/>
  <c r="A216" i="13"/>
  <c r="A217" i="13"/>
  <c r="A218" i="13"/>
  <c r="A219" i="13"/>
  <c r="A220" i="13"/>
  <c r="A221" i="13"/>
  <c r="A222" i="13"/>
  <c r="A223" i="13"/>
  <c r="A224" i="13"/>
  <c r="A225" i="13"/>
  <c r="A226" i="13"/>
  <c r="A227" i="13"/>
  <c r="A228" i="13"/>
  <c r="A229" i="13"/>
  <c r="A230" i="13"/>
  <c r="A231" i="13"/>
  <c r="A232" i="13"/>
  <c r="A233" i="13"/>
  <c r="A234" i="13"/>
  <c r="A235" i="13"/>
  <c r="A236" i="13"/>
  <c r="A237" i="13"/>
  <c r="A238" i="13"/>
  <c r="A239" i="13"/>
  <c r="A240" i="13"/>
  <c r="A241" i="13"/>
  <c r="A242" i="13"/>
  <c r="A243" i="13"/>
  <c r="A244" i="13"/>
  <c r="A245" i="13"/>
  <c r="A246" i="13"/>
  <c r="A247" i="13"/>
  <c r="A248" i="13"/>
  <c r="A249" i="13"/>
  <c r="A250" i="13"/>
  <c r="A251" i="13"/>
  <c r="A252" i="13"/>
  <c r="A253" i="13"/>
  <c r="A254" i="13"/>
  <c r="A255" i="13"/>
  <c r="A256" i="13"/>
  <c r="A257" i="13"/>
  <c r="A258" i="13"/>
  <c r="A259" i="13"/>
  <c r="A260" i="13"/>
  <c r="A261" i="13"/>
  <c r="A262" i="13"/>
  <c r="A263" i="13"/>
  <c r="A264" i="13"/>
  <c r="A265" i="13"/>
  <c r="A266" i="13"/>
  <c r="A267" i="13"/>
  <c r="A268" i="13"/>
  <c r="A269" i="13"/>
  <c r="A270" i="13"/>
  <c r="A271" i="13"/>
  <c r="A272" i="13"/>
  <c r="A273" i="13"/>
  <c r="A274" i="13"/>
  <c r="A275" i="13"/>
  <c r="A276" i="13"/>
  <c r="A277" i="13"/>
  <c r="A278" i="13"/>
  <c r="A279" i="13"/>
  <c r="A280" i="13"/>
  <c r="A281" i="13"/>
  <c r="A282" i="13"/>
  <c r="A283" i="13"/>
  <c r="A284" i="13"/>
  <c r="A285" i="13"/>
  <c r="A286" i="13"/>
  <c r="A287" i="13"/>
  <c r="A288" i="13"/>
  <c r="A289" i="13"/>
  <c r="A290" i="13"/>
  <c r="A291" i="13"/>
  <c r="A292" i="13"/>
  <c r="A293" i="13"/>
  <c r="A294" i="13"/>
  <c r="A295" i="13"/>
  <c r="A296" i="13"/>
  <c r="A297" i="13"/>
  <c r="A298" i="13"/>
  <c r="A299" i="13"/>
  <c r="A300" i="13"/>
  <c r="A301" i="13"/>
  <c r="A302" i="13"/>
  <c r="A303" i="13"/>
  <c r="A304" i="13"/>
  <c r="A305" i="13"/>
  <c r="A306" i="13"/>
  <c r="A307" i="13"/>
  <c r="A308" i="13"/>
  <c r="A309" i="13"/>
  <c r="A310" i="13"/>
  <c r="A311" i="13"/>
  <c r="A312" i="13"/>
  <c r="A313" i="13"/>
  <c r="A314" i="13"/>
  <c r="A315" i="13"/>
  <c r="A316" i="13"/>
  <c r="A317" i="13"/>
  <c r="A318" i="13"/>
  <c r="A319" i="13"/>
  <c r="A320" i="13"/>
  <c r="A321" i="13"/>
  <c r="A322" i="13"/>
  <c r="A323" i="13"/>
  <c r="A324" i="13"/>
  <c r="A325" i="13"/>
  <c r="A326" i="13"/>
  <c r="A327" i="13"/>
  <c r="A328" i="13"/>
  <c r="A329" i="13"/>
  <c r="A330" i="13"/>
  <c r="A331" i="13"/>
  <c r="A332" i="13"/>
  <c r="A333" i="13"/>
  <c r="A334" i="13"/>
  <c r="A335" i="13"/>
  <c r="A336" i="13"/>
  <c r="A337" i="13"/>
  <c r="A338" i="13"/>
  <c r="A339" i="13"/>
  <c r="A340" i="13"/>
  <c r="A341" i="13"/>
  <c r="A342" i="13"/>
  <c r="A343" i="13"/>
  <c r="A344" i="13"/>
  <c r="A345" i="13"/>
  <c r="A346" i="13"/>
  <c r="A347" i="13"/>
  <c r="A348" i="13"/>
  <c r="A349" i="13"/>
  <c r="A350" i="13"/>
  <c r="A351" i="13"/>
  <c r="A352" i="13"/>
  <c r="A353" i="13"/>
  <c r="A354" i="13"/>
  <c r="A99" i="16"/>
  <c r="A100" i="16"/>
  <c r="A101" i="16"/>
  <c r="A102" i="16"/>
  <c r="A103" i="16"/>
  <c r="A104" i="16"/>
  <c r="A105" i="16"/>
  <c r="A106" i="16"/>
  <c r="A107" i="16"/>
  <c r="A108" i="16"/>
  <c r="A109" i="16"/>
  <c r="A110" i="16"/>
  <c r="A111" i="16"/>
  <c r="A112" i="16"/>
  <c r="A113" i="16"/>
  <c r="A114" i="16"/>
  <c r="A115" i="16"/>
  <c r="A116" i="16"/>
  <c r="A117" i="16"/>
  <c r="A118" i="16"/>
  <c r="A119"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tc={C4DE3950-5D55-4E49-AB5F-DC28E4CB0472}</author>
    <author>tc={8BB80868-1981-4C15-8046-90F040918033}</author>
    <author>tc={5885B2E6-B868-46E0-8053-6D7D656A292B}</author>
  </authors>
  <commentList>
    <comment ref="E2" authorId="0" shapeId="0" xr:uid="{C4DE3950-5D55-4E49-AB5F-DC28E4CB0472}">
      <text>
        <t>[Threaded comment]
Your version of Excel allows you to read this threaded comment; however, any edits to it will get removed if the file is opened in a newer version of Excel. Learn more: https://go.microsoft.com/fwlink/?linkid=870924
Comment:
    Must use same keyword list as in the Project Overview
Reply:
    Updated list</t>
      </text>
    </comment>
    <comment ref="G2" authorId="1" shapeId="0" xr:uid="{8BB80868-1981-4C15-8046-90F040918033}">
      <text>
        <t>[Threaded comment]
Your version of Excel allows you to read this threaded comment; however, any edits to it will get removed if the file is opened in a newer version of Excel. Learn more: https://go.microsoft.com/fwlink/?linkid=870924
Comment:
    Must use same as list in Project Overview</t>
      </text>
    </comment>
    <comment ref="H2" authorId="2" shapeId="0" xr:uid="{5885B2E6-B868-46E0-8053-6D7D656A292B}">
      <text>
        <t>[Threaded comment]
Your version of Excel allows you to read this threaded comment; however, any edits to it will get removed if the file is opened in a newer version of Excel. Learn more: https://go.microsoft.com/fwlink/?linkid=870924
Comment:
    Must use same list as in Project Overview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Williamson, Tanja N.</author>
  </authors>
  <commentList>
    <comment ref="I2" authorId="0" shapeId="0" xr:uid="{F7A96764-59D8-4397-9369-FE7FB65F30C1}">
      <text>
        <r>
          <rPr>
            <b/>
            <sz val="11"/>
            <color indexed="81"/>
            <rFont val="Tahoma"/>
            <family val="2"/>
          </rPr>
          <t>Williamson, Tanja N.:</t>
        </r>
        <r>
          <rPr>
            <sz val="11"/>
            <color indexed="81"/>
            <rFont val="Tahoma"/>
            <family val="2"/>
          </rPr>
          <t xml:space="preserve">
new comment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tc={312A8685-D754-4158-BB9F-E994BB6EBCA2}</author>
  </authors>
  <commentList>
    <comment ref="B1" authorId="0" shapeId="0" xr:uid="{312A8685-D754-4158-BB9F-E994BB6EBCA2}">
      <text>
        <t>[Threaded comment]
Your version of Excel allows you to read this threaded comment; however, any edits to it will get removed if the file is opened in a newer version of Excel. Learn more: https://go.microsoft.com/fwlink/?linkid=870924
Comment:
    update to be journal article, report, dataset</t>
      </text>
    </comment>
  </commentList>
</comments>
</file>

<file path=xl/sharedStrings.xml><?xml version="1.0" encoding="utf-8"?>
<sst xmlns="http://schemas.openxmlformats.org/spreadsheetml/2006/main" count="1509" uniqueCount="668">
  <si>
    <t>Purpose</t>
  </si>
  <si>
    <r>
      <rPr>
        <sz val="14"/>
        <color rgb="FF000000"/>
        <rFont val="Calibri"/>
        <family val="2"/>
      </rPr>
      <t xml:space="preserve">The purpose of this workbook is to aggregate USGS fiscal-year reporting from a series of 5 years:  2016-2020.  Whenever possible, this template format follows what was used for reporting in FY21.  The USGS uses these data to demonstrate the value of the work accomplished by WRRI's. The USGS gets asked questions from different stakeholders - this is the reason for the multiple characterizations of each project.
</t>
    </r>
    <r>
      <rPr>
        <sz val="14"/>
        <color rgb="FFC00000"/>
        <rFont val="Calibri"/>
        <family val="2"/>
      </rPr>
      <t>We suggest reviewing the entire spreadsheet before filling it out. While we tried to provide a list of what was accessible from the USGS database for these years, it is the responsibility each Institute to verify the completeness of the Project lists ("Project IDs" present in most tabs) and add whatever is missing.</t>
    </r>
  </si>
  <si>
    <t xml:space="preserve"> </t>
  </si>
  <si>
    <t>General Instructions</t>
  </si>
  <si>
    <r>
      <rPr>
        <sz val="14"/>
        <color rgb="FF000000"/>
        <rFont val="Calibri"/>
        <family val="2"/>
      </rPr>
      <t xml:space="preserve">A column heading in italics indicates that the field should be populated from a drop-down menu.  Example entries are provided in </t>
    </r>
    <r>
      <rPr>
        <sz val="14"/>
        <color rgb="FF44546A"/>
        <rFont val="Calibri"/>
        <family val="2"/>
      </rPr>
      <t>blue</t>
    </r>
    <r>
      <rPr>
        <sz val="14"/>
        <color rgb="FF000000"/>
        <rFont val="Calibri"/>
        <family val="2"/>
      </rPr>
      <t xml:space="preserve"> text; you may overwrite them. We have worked to provide a complete list of options for each.  To provide ample room for further details, most tabs have reserved the last column for "Additional Comments".   
Diversity, equity, inclusion, accessibility, and justice are included in multiple pages.  Because of the variability in how this is addressed, please provide what information you can in the space provided.  
On several pages, specifics are asked about students, equipment, etc.  These items were included because they are reported by many Institutes.  Please put </t>
    </r>
    <r>
      <rPr>
        <b/>
        <i/>
        <sz val="14"/>
        <color rgb="FF000000"/>
        <rFont val="Calibri"/>
        <family val="2"/>
      </rPr>
      <t>"</t>
    </r>
    <r>
      <rPr>
        <b/>
        <i/>
        <sz val="14"/>
        <rFont val="Calibri"/>
        <family val="2"/>
      </rPr>
      <t>NA</t>
    </r>
    <r>
      <rPr>
        <b/>
        <i/>
        <sz val="14"/>
        <color rgb="FF7030A0"/>
        <rFont val="Calibri"/>
        <family val="2"/>
      </rPr>
      <t>"</t>
    </r>
    <r>
      <rPr>
        <sz val="14"/>
        <color rgb="FF000000"/>
        <rFont val="Calibri"/>
        <family val="2"/>
      </rPr>
      <t xml:space="preserve"> if this information was not tracked (e.g., not available) and it is a numeric answer.   This will help distinguish from </t>
    </r>
    <r>
      <rPr>
        <b/>
        <i/>
        <sz val="14"/>
        <color rgb="FF000000"/>
        <rFont val="Calibri"/>
        <family val="2"/>
      </rPr>
      <t>0</t>
    </r>
    <r>
      <rPr>
        <sz val="14"/>
        <color rgb="FF000000"/>
        <rFont val="Calibri"/>
        <family val="2"/>
      </rPr>
      <t>.  
For the science characterization on the "</t>
    </r>
    <r>
      <rPr>
        <sz val="14"/>
        <color rgb="FF7030A0"/>
        <rFont val="Calibri"/>
        <family val="2"/>
      </rPr>
      <t>Significant Impact</t>
    </r>
    <r>
      <rPr>
        <sz val="14"/>
        <color rgb="FF000000"/>
        <rFont val="Calibri"/>
        <family val="2"/>
      </rPr>
      <t>" and "</t>
    </r>
    <r>
      <rPr>
        <sz val="14"/>
        <color rgb="FF4472C4"/>
        <rFont val="Calibri"/>
        <family val="2"/>
      </rPr>
      <t>Project Overview</t>
    </r>
    <r>
      <rPr>
        <sz val="14"/>
        <color rgb="FF000000"/>
        <rFont val="Calibri"/>
        <family val="2"/>
      </rPr>
      <t>" tabs, we have provided drop-down menus of USGS research topics as well as those from the  keywords list.  We have also provided an "Additional Keywords" column so that you can provide specific terms that may be relatively new in terms of innovation, emerging contaminants, etc.                                                                                                                                                                                                                                                                                                                                                                                                                                                                                                      
For the "</t>
    </r>
    <r>
      <rPr>
        <sz val="14"/>
        <color rgb="FF7030A0"/>
        <rFont val="Calibri"/>
        <family val="2"/>
      </rPr>
      <t>Significant Impact</t>
    </r>
    <r>
      <rPr>
        <sz val="14"/>
        <color rgb="FF000000"/>
        <rFont val="Calibri"/>
        <family val="2"/>
      </rPr>
      <t xml:space="preserve">" tab, please describe three topics on which your Institute has focused, drawing from the general USGS priorities described in Circular 1488 (https://doi.org/10.3133/cir1488) and listed in the dropdown menu. In describing these impacts, please explain the relation to key water issues for the Institute and how they relate to your proposal process, outreach and education, research priorities, or other activities. Each of these descriptions must be limited to 300 words.   
Please remember to copy your Institute's 2019 evaluation action-items into the workbook and provide a response of how these were addressed.                                                                                                                                        
</t>
    </r>
  </si>
  <si>
    <t>What to Report</t>
  </si>
  <si>
    <r>
      <rPr>
        <sz val="14"/>
        <color rgb="FF000000"/>
        <rFont val="Calibri"/>
        <family val="2"/>
      </rPr>
      <t xml:space="preserve">
Responses to the "</t>
    </r>
    <r>
      <rPr>
        <sz val="14"/>
        <color rgb="FF4472C4"/>
        <rFont val="Calibri"/>
        <family val="2"/>
      </rPr>
      <t>Project Overview</t>
    </r>
    <r>
      <rPr>
        <sz val="14"/>
        <color rgb="FF000000"/>
        <rFont val="Calibri"/>
        <family val="2"/>
      </rPr>
      <t>," "</t>
    </r>
    <r>
      <rPr>
        <sz val="14"/>
        <color rgb="FF4472C4"/>
        <rFont val="Calibri"/>
        <family val="2"/>
      </rPr>
      <t>Project Summaries</t>
    </r>
    <r>
      <rPr>
        <sz val="14"/>
        <color rgb="FF000000"/>
        <rFont val="Calibri"/>
        <family val="2"/>
      </rPr>
      <t>," "</t>
    </r>
    <r>
      <rPr>
        <sz val="14"/>
        <color rgb="FFED7D31"/>
        <rFont val="Calibri"/>
        <family val="2"/>
      </rPr>
      <t>Conference Presentations</t>
    </r>
    <r>
      <rPr>
        <sz val="14"/>
        <color rgb="FF000000"/>
        <rFont val="Calibri"/>
        <family val="2"/>
      </rPr>
      <t>," "</t>
    </r>
    <r>
      <rPr>
        <sz val="14"/>
        <color rgb="FFED7D31"/>
        <rFont val="Calibri"/>
        <family val="2"/>
      </rPr>
      <t>Education and Outreach</t>
    </r>
    <r>
      <rPr>
        <sz val="14"/>
        <color rgb="FF000000"/>
        <rFont val="Calibri"/>
        <family val="2"/>
      </rPr>
      <t>," "</t>
    </r>
    <r>
      <rPr>
        <sz val="14"/>
        <color rgb="FFED7D31"/>
        <rFont val="Calibri"/>
        <family val="2"/>
      </rPr>
      <t>Social Media</t>
    </r>
    <r>
      <rPr>
        <sz val="14"/>
        <color rgb="FF000000"/>
        <rFont val="Calibri"/>
        <family val="2"/>
      </rPr>
      <t>",  "</t>
    </r>
    <r>
      <rPr>
        <sz val="14"/>
        <color rgb="FFED7D31"/>
        <rFont val="Calibri"/>
        <family val="2"/>
      </rPr>
      <t>USGS Collaboration</t>
    </r>
    <r>
      <rPr>
        <sz val="14"/>
        <color rgb="FF000000"/>
        <rFont val="Calibri"/>
        <family val="2"/>
      </rPr>
      <t>", and "</t>
    </r>
    <r>
      <rPr>
        <sz val="14"/>
        <color rgb="FFED7D31"/>
        <rFont val="Calibri"/>
        <family val="2"/>
      </rPr>
      <t>Other Activity</t>
    </r>
    <r>
      <rPr>
        <sz val="14"/>
        <color rgb="FF000000"/>
        <rFont val="Calibri"/>
        <family val="2"/>
      </rPr>
      <t>" tabs should ONLY include activities supported by awards from THIS FIVE-YEAR AWARD CYCLE. Responses to the "</t>
    </r>
    <r>
      <rPr>
        <sz val="14"/>
        <color rgb="FFFF0000"/>
        <rFont val="Calibri"/>
        <family val="2"/>
      </rPr>
      <t>doi Products</t>
    </r>
    <r>
      <rPr>
        <sz val="14"/>
        <color rgb="FF000000"/>
        <rFont val="Calibri"/>
        <family val="2"/>
      </rPr>
      <t>", "</t>
    </r>
    <r>
      <rPr>
        <sz val="14"/>
        <color rgb="FFFF0000"/>
        <rFont val="Calibri"/>
        <family val="2"/>
      </rPr>
      <t>other Products</t>
    </r>
    <r>
      <rPr>
        <sz val="14"/>
        <color rgb="FF000000"/>
        <rFont val="Calibri"/>
        <family val="2"/>
      </rPr>
      <t>", and "</t>
    </r>
    <r>
      <rPr>
        <sz val="14"/>
        <color rgb="FFFF0000"/>
        <rFont val="Calibri"/>
        <family val="2"/>
      </rPr>
      <t>Awards and Achievements</t>
    </r>
    <r>
      <rPr>
        <sz val="14"/>
        <color rgb="FF000000"/>
        <rFont val="Calibri"/>
        <family val="2"/>
      </rPr>
      <t>" tabs may reference projects from this 5-year cycle or previous years, as long as they were published during this 5-year cycle (i.e., a citation date with years 2016-2020).  Only report  products and awards that were not included in previous 5-year evaluations. 
In the "</t>
    </r>
    <r>
      <rPr>
        <sz val="14"/>
        <color rgb="FF4472C4"/>
        <rFont val="Calibri"/>
        <family val="2"/>
      </rPr>
      <t>Project Overview</t>
    </r>
    <r>
      <rPr>
        <sz val="14"/>
        <color rgb="FF000000"/>
        <rFont val="Calibri"/>
        <family val="2"/>
      </rPr>
      <t xml:space="preserve">" tab, identifying the "acedemic Institution of the PI" supplements the information collected for  "Congressional Districts" so that this can describe field area. For reporting numbers of funded students, please list WRRA federally funded students ONLY in columns J-L, and non-federal (matching) funded students ONLY in column M.
</t>
    </r>
  </si>
  <si>
    <t>Instructions for selecting the Project ID</t>
  </si>
  <si>
    <r>
      <rPr>
        <sz val="14"/>
        <color rgb="FFC00000"/>
        <rFont val="Calibri"/>
        <family val="2"/>
      </rPr>
      <t>Project ID's have NOT been pre-populated, but a preliminary list needing verification is available in the Cover Sheet for the Institute. We anticipate that each Institute will have an Administration and/or Outreach budget, so these should be populated in column A and B on the "</t>
    </r>
    <r>
      <rPr>
        <sz val="14"/>
        <color rgb="FF4472C4"/>
        <rFont val="Calibri"/>
        <family val="2"/>
      </rPr>
      <t>Project Overview</t>
    </r>
    <r>
      <rPr>
        <sz val="14"/>
        <color rgb="FFC00000"/>
        <rFont val="Calibri"/>
        <family val="2"/>
      </rPr>
      <t>" and column A on the "</t>
    </r>
    <r>
      <rPr>
        <sz val="14"/>
        <color rgb="FF4472C4"/>
        <rFont val="Calibri"/>
        <family val="2"/>
      </rPr>
      <t>Project Summaries</t>
    </r>
    <r>
      <rPr>
        <sz val="14"/>
        <color rgb="FFC00000"/>
        <rFont val="Calibri"/>
        <family val="2"/>
      </rPr>
      <t xml:space="preserve">" tabs.  </t>
    </r>
    <r>
      <rPr>
        <sz val="14"/>
        <color rgb="FF333333"/>
        <rFont val="Calibri"/>
        <family val="2"/>
      </rPr>
      <t xml:space="preserve">Please use your own Institute-specific numbering scheme for the "Project ID" - these need to be differentiable so that they can be integrated with project summaries. 
If your Institute doesn't have a numbering scheme, please use "SS_YYYY_name" as the "Project ID," where SS is two-letter state abbreviation, YYYY is four digit award year, and name is last name of lead PI or the name of the activity (e.g., "Admin").  If you want to include figures, please paste an image in the space to the right of the project summary.  
Please use the original Project IDs for 2016-2020 if they existed.  This may or may not be included in the pre-population.  </t>
    </r>
  </si>
  <si>
    <t>Report Submission</t>
  </si>
  <si>
    <t xml:space="preserve">Please email your completed report to gs-w.wrri.web.team@usgs.gov. </t>
  </si>
  <si>
    <t>Please provide background information about your institute</t>
  </si>
  <si>
    <t>Use Only This Column</t>
  </si>
  <si>
    <t>Name of Institute</t>
  </si>
  <si>
    <t>Illinois Water Resources Center</t>
  </si>
  <si>
    <t xml:space="preserve">University </t>
  </si>
  <si>
    <t>University of Illinois Urbana-Champaign</t>
  </si>
  <si>
    <t>Director</t>
  </si>
  <si>
    <t>Brian Miller (2016-2017) Yu-Feng Lin (2018-2020)</t>
  </si>
  <si>
    <t>Associate Director (NA if none)</t>
  </si>
  <si>
    <t>NA</t>
  </si>
  <si>
    <t>How many other science staff? [not administrative]</t>
  </si>
  <si>
    <t xml:space="preserve">How many administrative staff are in your institute? </t>
  </si>
  <si>
    <t>Do you employ students in institute?</t>
  </si>
  <si>
    <t>yes</t>
  </si>
  <si>
    <t>Is the WRRI integrated with other institutes?</t>
  </si>
  <si>
    <t>No</t>
  </si>
  <si>
    <t>Is there cost-sharing of administrative expenses?</t>
  </si>
  <si>
    <t>Yes</t>
  </si>
  <si>
    <t xml:space="preserve">Does Institute collect information that addresses questions of diversity, equity, inclusion, accessibility, and justice?  </t>
  </si>
  <si>
    <t xml:space="preserve">There are a range of approaches, 
so please explain. </t>
  </si>
  <si>
    <t>How much of individual postitions are funded by WRRA appropriated funds? (% [FTE] of total position)</t>
  </si>
  <si>
    <t>Average (automatically calculated)</t>
  </si>
  <si>
    <t>Year 1</t>
  </si>
  <si>
    <t>Year 2</t>
  </si>
  <si>
    <t>Year 3</t>
  </si>
  <si>
    <t>Year 4</t>
  </si>
  <si>
    <t>Year 5</t>
  </si>
  <si>
    <t>Other Science Staff</t>
  </si>
  <si>
    <t>Administrative Staff</t>
  </si>
  <si>
    <t>Students</t>
  </si>
  <si>
    <t>Source(s) of additional funding  for salary</t>
  </si>
  <si>
    <t>Office of the Vice Chancellor for Research</t>
  </si>
  <si>
    <t>Department of Civil and Environmental Engineering</t>
  </si>
  <si>
    <t xml:space="preserve">Does host institution provide discretionary funds?  </t>
  </si>
  <si>
    <t xml:space="preserve">How much (by year)?  How were these used?  </t>
  </si>
  <si>
    <t>office supplies and refreshments for IWRC hosted events</t>
  </si>
  <si>
    <t>Enter yearly breakdown below, or enter one response in column B if schedule does not vary year to year.</t>
  </si>
  <si>
    <t xml:space="preserve">Within-Institute base-award (104b) schedule </t>
  </si>
  <si>
    <t xml:space="preserve">When is the yearly call for proposals?  </t>
  </si>
  <si>
    <t>September</t>
  </si>
  <si>
    <t>months</t>
  </si>
  <si>
    <t>When are proposals due?</t>
  </si>
  <si>
    <t>October</t>
  </si>
  <si>
    <t xml:space="preserve">Does Institute plan for multi-year Awards?  </t>
  </si>
  <si>
    <t>yes/no</t>
  </si>
  <si>
    <t>How often does Institute have a symposium? (yr)</t>
  </si>
  <si>
    <t>3 or more years</t>
  </si>
  <si>
    <t>1,2,3</t>
  </si>
  <si>
    <t>When is symposium?</t>
  </si>
  <si>
    <t>November</t>
  </si>
  <si>
    <t>Are there other Institutions that are symposium co-sponsors?</t>
  </si>
  <si>
    <t>IF YES, list co-sponsors</t>
  </si>
  <si>
    <t>Advisory Board</t>
  </si>
  <si>
    <t>Frequency of meetings</t>
  </si>
  <si>
    <t>semi-annual</t>
  </si>
  <si>
    <t>Number of Members</t>
  </si>
  <si>
    <t>Does board review base-award (104b) proposals?</t>
  </si>
  <si>
    <t>Does board guied base-award priorities?</t>
  </si>
  <si>
    <t>Do board members have a term?  (NA or years)</t>
  </si>
  <si>
    <t xml:space="preserve">How else does board contribute? </t>
  </si>
  <si>
    <t>The board provides strategic guidance for IWRC</t>
  </si>
  <si>
    <t>Sponsorship of or coordination with Outside Advisory Groups? List</t>
  </si>
  <si>
    <t xml:space="preserve"> Advisory Board Members (name)</t>
  </si>
  <si>
    <t>Institution</t>
  </si>
  <si>
    <t>Beginning of Term</t>
  </si>
  <si>
    <t xml:space="preserve">End of Term (Actual/
Expected) </t>
  </si>
  <si>
    <t>Susan Martinis</t>
  </si>
  <si>
    <t>Kimberlee Kidwell</t>
  </si>
  <si>
    <t>Evan Delucia</t>
  </si>
  <si>
    <t>Mark Ryan</t>
  </si>
  <si>
    <t>German A. Bollero</t>
  </si>
  <si>
    <t>Madhu Khanna</t>
  </si>
  <si>
    <t>Praveen Kumar</t>
  </si>
  <si>
    <t>Please provide  information on how your Institute manages scientific integrity</t>
  </si>
  <si>
    <t>Base-award process (104b)</t>
  </si>
  <si>
    <t xml:space="preserve">Are review criteria included in the proposal solicitation (RFP)?  </t>
  </si>
  <si>
    <t xml:space="preserve">Are proposals technically reviewed?  </t>
  </si>
  <si>
    <t xml:space="preserve">Who reviews base-award proposals?  </t>
  </si>
  <si>
    <t>IWRC's Research Scientist identifies and recruits reviewers</t>
  </si>
  <si>
    <t xml:space="preserve">How many reviewers read each proposal?  </t>
  </si>
  <si>
    <t>at least 3</t>
  </si>
  <si>
    <t xml:space="preserve">How is review process documented?  </t>
  </si>
  <si>
    <t>Reviewers complete a Google form</t>
  </si>
  <si>
    <t xml:space="preserve">Who determines which proposals are selected for funding?  </t>
  </si>
  <si>
    <t>IWRC's Research Scientist and Director</t>
  </si>
  <si>
    <t xml:space="preserve">Do all proposals receive comments from review process?  </t>
  </si>
  <si>
    <t xml:space="preserve">How are research priorities selected? </t>
  </si>
  <si>
    <t>Selected by the Director</t>
  </si>
  <si>
    <t>National competitive-grant  process (104g)</t>
  </si>
  <si>
    <t xml:space="preserve">Does your institute require statements of interest? </t>
  </si>
  <si>
    <t xml:space="preserve">How long before the deadline are proposals due to the Institute?  </t>
  </si>
  <si>
    <t>2 weeks</t>
  </si>
  <si>
    <t xml:space="preserve">Does the Institute interact with PIs who are preparing proposals?  </t>
  </si>
  <si>
    <t xml:space="preserve">If Institute interacts with PIs, is there requested statement of interest to initiate conversation?  </t>
  </si>
  <si>
    <t xml:space="preserve">If Institute interacts with PIs, is there training on proposal preparation?  </t>
  </si>
  <si>
    <t xml:space="preserve">If Institute interacts with PIs, is there fostering for collaboration for PIs with complementary ideas ?  </t>
  </si>
  <si>
    <t xml:space="preserve">      If Institute interacts with PIs, is there Administrative Review of proposals?     Review confirming completeness for rubric and required elements? </t>
  </si>
  <si>
    <t xml:space="preserve">If Institute interact with PIs, is there support for budget development and review of budget?  </t>
  </si>
  <si>
    <t xml:space="preserve">How else does the Institute interact with PIs who are preparing proposals?  </t>
  </si>
  <si>
    <t xml:space="preserve">Who submits the proposals?  </t>
  </si>
  <si>
    <t>University Research Office</t>
  </si>
  <si>
    <t>Publications</t>
  </si>
  <si>
    <t>Does the Institute have a review process for publications funded by WRRA?</t>
  </si>
  <si>
    <t>If papers are  technically reviewed, who does this?</t>
  </si>
  <si>
    <t>How many base-award funded projects resulted in at least 1 peer-reviewed publication?</t>
  </si>
  <si>
    <t>How many base-award funded projects resulted in publically accessible (published) data?</t>
  </si>
  <si>
    <t>Note:  if this information wasn't tracked, enter "NA".</t>
  </si>
  <si>
    <t>How many WRRI-involved students ended up working with USGS during WRRI project?</t>
  </si>
  <si>
    <t>How many WRRI-involved students ended up working at USGS sometime after WRRI project?</t>
  </si>
  <si>
    <t>Matching Funds by Source and Year</t>
  </si>
  <si>
    <t>State Appropriations</t>
  </si>
  <si>
    <t xml:space="preserve">State Grants &amp; Contracts </t>
  </si>
  <si>
    <t xml:space="preserve">Federal Grants &amp; Contracts </t>
  </si>
  <si>
    <t>Foundation Grants &amp; Contracts</t>
  </si>
  <si>
    <t xml:space="preserve">Private Sector Grants &amp; Contracts </t>
  </si>
  <si>
    <t xml:space="preserve">Sales &amp; Services </t>
  </si>
  <si>
    <t xml:space="preserve">Other: </t>
  </si>
  <si>
    <t>Prinicipal Investigators by Rank and Year (number)</t>
  </si>
  <si>
    <t>Research Staff</t>
  </si>
  <si>
    <t>Assistant Professor and below</t>
  </si>
  <si>
    <t>Associate Professor</t>
  </si>
  <si>
    <t>Professor</t>
  </si>
  <si>
    <t>unknown</t>
  </si>
  <si>
    <t>Total</t>
  </si>
  <si>
    <t>Unspent Funds</t>
  </si>
  <si>
    <t>Base Award Funds (104b)</t>
  </si>
  <si>
    <t>National Competitive Awards (104g)</t>
  </si>
  <si>
    <t>Coordination Awards</t>
  </si>
  <si>
    <t>Was an extension requested for the base award?  (104b)</t>
  </si>
  <si>
    <t>no</t>
  </si>
  <si>
    <t xml:space="preserve">The Three Most Significant Impacts of WRRI Accomplishments for the 5-year Period </t>
  </si>
  <si>
    <t>Science Characterization</t>
  </si>
  <si>
    <r>
      <t xml:space="preserve">Descriptive Phrase
 </t>
    </r>
    <r>
      <rPr>
        <b/>
        <sz val="10"/>
        <color rgb="FF000000"/>
        <rFont val="Calibri"/>
        <family val="2"/>
      </rPr>
      <t>(about 15-word limit)</t>
    </r>
  </si>
  <si>
    <r>
      <rPr>
        <b/>
        <sz val="14"/>
        <color rgb="FF000000"/>
        <rFont val="Calibri"/>
        <family val="2"/>
      </rPr>
      <t xml:space="preserve">                                                                Summary of Impact</t>
    </r>
    <r>
      <rPr>
        <b/>
        <sz val="10"/>
        <color rgb="FF000000"/>
        <rFont val="Calibri"/>
        <family val="2"/>
      </rPr>
      <t xml:space="preserve"> 
(Please describe three impacts on which your Institute has focused, drawing from the general USGS priorities described in Circular 1488 listed in the tab in column D, a dropdown menu. In describing these impacts, please relate to key science issues for the Institute and briefly explain how they relate to your proposal process, outreach and education, research priorities, or other activities. Each of these descriptions must be limited to 300 words. ) </t>
    </r>
  </si>
  <si>
    <r>
      <t xml:space="preserve">Relevant Project ID or IDs
 </t>
    </r>
    <r>
      <rPr>
        <b/>
        <sz val="10"/>
        <color rgb="FF000000"/>
        <rFont val="Calibri"/>
        <family val="2"/>
      </rPr>
      <t>(for the 5-year reporting period, as needed to frame discussion)</t>
    </r>
  </si>
  <si>
    <t>WRRI Science Priority that Best Aligns with this Issue, from Circular 1488. (Select one from the list)</t>
  </si>
  <si>
    <t>Keyword (Primary. Use supplied list)</t>
  </si>
  <si>
    <t>Additional Keywords (Separate keywords with a comma)</t>
  </si>
  <si>
    <t>USGS Cross-Discipline Science Topic (Select one)</t>
  </si>
  <si>
    <t>USGS Cross-Discipline Landscapes (Select one)</t>
  </si>
  <si>
    <t>Impact 2 : Critical Contaminant Monitoring and Solutions</t>
  </si>
  <si>
    <t>Project Identifiers</t>
  </si>
  <si>
    <t>Project Information</t>
  </si>
  <si>
    <t>Funding</t>
  </si>
  <si>
    <r>
      <t>Student Statistics</t>
    </r>
    <r>
      <rPr>
        <b/>
        <sz val="10"/>
        <rFont val="Arial Black"/>
        <family val="2"/>
      </rPr>
      <t xml:space="preserve"> 
(Please limit columns J-L to students supported using federal WRRA funds; please don't include students supported using matching funds. Please report students supported using matching funds in column M.)</t>
    </r>
  </si>
  <si>
    <t>Science Characterization 
(Please help us characterize the studies both in terms of WRRI categories, but also those requested by Congress and other stakeholders.)</t>
  </si>
  <si>
    <t xml:space="preserve">Project ID </t>
  </si>
  <si>
    <r>
      <t xml:space="preserve">Project Type                                    </t>
    </r>
    <r>
      <rPr>
        <b/>
        <i/>
        <sz val="10"/>
        <color theme="1"/>
        <rFont val="Calibri"/>
        <family val="2"/>
        <scheme val="minor"/>
      </rPr>
      <t>(please include Admin as well as on-going individual research projects, 104g awards, and coordination agreements)</t>
    </r>
  </si>
  <si>
    <t>Award Type</t>
  </si>
  <si>
    <t>Please indicate if an extension was granted for this project</t>
  </si>
  <si>
    <t>Project Title</t>
  </si>
  <si>
    <t>Project PI</t>
  </si>
  <si>
    <t>Academic Institution of PI</t>
  </si>
  <si>
    <t>Congressional District of project field site, or, if there is no field site, the congressional district where PI is located
(please format as "[2-digit state abbreviation ]-[Congressional District]", e.g., "CO-1")</t>
  </si>
  <si>
    <t>Award Amount Allocated ($) this must be filled in for all lines</t>
  </si>
  <si>
    <t>Number of PhD Students Supported by WRRA $</t>
  </si>
  <si>
    <t>Number of MS Students Supported by WRRA $</t>
  </si>
  <si>
    <t>Number of Undergraduate Students Supported by WRRA $</t>
  </si>
  <si>
    <t xml:space="preserve">Number of students supported by non-federal (matching) funds </t>
  </si>
  <si>
    <r>
      <rPr>
        <b/>
        <sz val="12"/>
        <color rgb="FF000000"/>
        <rFont val="Calibri"/>
        <family val="2"/>
      </rPr>
      <t xml:space="preserve"> Diversity, Equity, Inclusion, Accessibility, &amp; Justice
</t>
    </r>
    <r>
      <rPr>
        <b/>
        <sz val="10"/>
        <color rgb="FF000000"/>
        <rFont val="Calibri"/>
        <family val="2"/>
      </rPr>
      <t>(If the Institute collects information on number of students served, please include it.  If the Institute does not collect that information, please respond "NA", not available.  If these data are collected, but are unknown for this project, please respond "ND", not determined.)</t>
    </r>
  </si>
  <si>
    <t>WRRI Science Priority that Best Aligns with this Project</t>
  </si>
  <si>
    <t>Water Resources Research Institute Region</t>
  </si>
  <si>
    <t>USGS Cross-Discipline Landscapes (Primary)</t>
  </si>
  <si>
    <t>USGS Cross-Discipline Landscapes (Secondary, if applicable)</t>
  </si>
  <si>
    <t>Name of Geographic Study Area (if applicable)</t>
  </si>
  <si>
    <t>USGS Cross-Discipline Science Topic (Primary)</t>
  </si>
  <si>
    <t>USGS Cross-Discipline Science Topic (Secondary, if applicable)</t>
  </si>
  <si>
    <t>Keyword (Primary)</t>
  </si>
  <si>
    <t>Keyword (Secondary, if applicable)</t>
  </si>
  <si>
    <t>Keyword (Tertiary, if applicable)</t>
  </si>
  <si>
    <t>Additional Keywords (if applicable; separate keywords with a comma)</t>
  </si>
  <si>
    <t>2014IL292S</t>
  </si>
  <si>
    <t>Research</t>
  </si>
  <si>
    <t>Coordination Grant</t>
  </si>
  <si>
    <t>Improving Morphodynamic Predictions in Rivers</t>
  </si>
  <si>
    <t>Gary Parker</t>
  </si>
  <si>
    <t>University of Illinois</t>
  </si>
  <si>
    <t>IL-015</t>
  </si>
  <si>
    <t>ND</t>
  </si>
  <si>
    <t>Water Technology and Innovation</t>
  </si>
  <si>
    <t>Great Lakes</t>
  </si>
  <si>
    <t>None of the Above</t>
  </si>
  <si>
    <t>Other</t>
  </si>
  <si>
    <t>MODELS</t>
  </si>
  <si>
    <t>GEOMORPOLOGICAL PROCESSES</t>
  </si>
  <si>
    <t>SOLUTE TRANSPORT</t>
  </si>
  <si>
    <t>2015IL298G</t>
  </si>
  <si>
    <t>104g - General</t>
  </si>
  <si>
    <t>Using bioavailability to assess pyrethroid insecticide toxicity in urban sediments</t>
  </si>
  <si>
    <t>Michael Lydy, Amanda D Harwood, Kara Elizabeth Huff Hartz, Samuel A Nutile</t>
  </si>
  <si>
    <t>Southern Illinois University</t>
  </si>
  <si>
    <t>IL-012</t>
  </si>
  <si>
    <t>Water Quality</t>
  </si>
  <si>
    <t>California Bay-Delta</t>
  </si>
  <si>
    <t>Natural Hazards</t>
  </si>
  <si>
    <t>SEDIMENTS</t>
  </si>
  <si>
    <t>TOXIC SUBSTANCES</t>
  </si>
  <si>
    <t>2016IL311B</t>
  </si>
  <si>
    <t>Base Grant (104b)</t>
  </si>
  <si>
    <t>Identifying wetland inundation extent and patterns in Illinois</t>
  </si>
  <si>
    <t>Michael W Eichholz</t>
  </si>
  <si>
    <t>Watershed and Ecosystem Function</t>
  </si>
  <si>
    <t>WETLANDS</t>
  </si>
  <si>
    <t>FLOODS</t>
  </si>
  <si>
    <t>ECOLOGY</t>
  </si>
  <si>
    <t>2016IL312B</t>
  </si>
  <si>
    <t>Under the Cover of Darkness: Nighttime water use by native, biofuel and agricultural crops of Illinois</t>
  </si>
  <si>
    <t>Max Benjamin Berkelhammer, Benjamin Alsip</t>
  </si>
  <si>
    <t>University of Illinois Chicago</t>
  </si>
  <si>
    <t>IL-007</t>
  </si>
  <si>
    <t>Water Scarcity and Availability</t>
  </si>
  <si>
    <t>Climate</t>
  </si>
  <si>
    <t>CLIMATOLOGICAL PROCESSES</t>
  </si>
  <si>
    <t>AGRICULTURE</t>
  </si>
  <si>
    <t>HYDROLOGY</t>
  </si>
  <si>
    <t>2016IL313B</t>
  </si>
  <si>
    <t>Spatial and temporal modeling of road salts in a wateshed with mixed, urban and agricultural land use</t>
  </si>
  <si>
    <t>Eric Wade Peterson</t>
  </si>
  <si>
    <t>Illinois State University</t>
  </si>
  <si>
    <t>IL-103</t>
  </si>
  <si>
    <t>NON POINT POLLUTION</t>
  </si>
  <si>
    <t>WATER QUALITY</t>
  </si>
  <si>
    <t>2016IL314B</t>
  </si>
  <si>
    <t>Evaluating Water Quantity and Water Quality Issues in Illinois Streams Using Large-Scale Particle Image Velocimetry (LSPIV)</t>
  </si>
  <si>
    <t>Bruce L. Rhoads</t>
  </si>
  <si>
    <t>SURFACE WATER</t>
  </si>
  <si>
    <t>2016IL315B</t>
  </si>
  <si>
    <t>Outreach and Engagement</t>
  </si>
  <si>
    <t>Technology Transfer to the People of Illinois</t>
  </si>
  <si>
    <t>Lisa Merrifield</t>
  </si>
  <si>
    <t>Workforce Development and Water Literacy</t>
  </si>
  <si>
    <t>EDUCATION</t>
  </si>
  <si>
    <t>2017IL329B</t>
  </si>
  <si>
    <t>Ashlynn S. Stillwell, Reshmina William</t>
  </si>
  <si>
    <t>IL-013</t>
  </si>
  <si>
    <t>Water Policy, Planning, and Socioeconomics</t>
  </si>
  <si>
    <t>MANAGEMENT AND PLANNING</t>
  </si>
  <si>
    <t>2017IL330B</t>
  </si>
  <si>
    <t>Identifying nitrogen removal limitations in constructed wetlands treating agricultural tile drainage</t>
  </si>
  <si>
    <t>Karl John Rockne</t>
  </si>
  <si>
    <t>IL-016</t>
  </si>
  <si>
    <t>NUTRIENTS</t>
  </si>
  <si>
    <t>2017IL331B</t>
  </si>
  <si>
    <t>Evaluating the ability of wetland mitigation banks in the Chicago region to replace plant species lost to impacts to natural wetlands</t>
  </si>
  <si>
    <t>Jeffery Matthews</t>
  </si>
  <si>
    <t>Water Challenges</t>
  </si>
  <si>
    <t>CONSERVATION</t>
  </si>
  <si>
    <t>2017IL332B</t>
  </si>
  <si>
    <t xml:space="preserve">Impacts of stormwater-induced road salt runoff on soil and water quality in urban greenspaces </t>
  </si>
  <si>
    <t>Aaron Packman</t>
  </si>
  <si>
    <t>Northwestern University</t>
  </si>
  <si>
    <t>IL-009</t>
  </si>
  <si>
    <t>2017IL333B</t>
  </si>
  <si>
    <t>Diurnal and Seasonal Variation in Groundwater Nitrate-N Concentration in a Riparian Buffer Zone</t>
  </si>
  <si>
    <t>IL-105</t>
  </si>
  <si>
    <t>2017IL337S</t>
  </si>
  <si>
    <t>Are Current Sediment Bioassays Being Biased by Collecting and Holding Time Procedures?</t>
  </si>
  <si>
    <t>Michael Lydy</t>
  </si>
  <si>
    <t>METHODS</t>
  </si>
  <si>
    <t>2017IL334B</t>
  </si>
  <si>
    <t>Transferring Water Resources Information to the People of Illinois</t>
  </si>
  <si>
    <t xml:space="preserve">University of Illinois </t>
  </si>
  <si>
    <t>2018IL339B</t>
  </si>
  <si>
    <t>Redefine Droughts in the U.S. Corn Belt: Stomatal conductance constraints attributable to atmospheric demand and/or soil water supply</t>
  </si>
  <si>
    <t>Kaiyu Guan, Hyungsuk Kim</t>
  </si>
  <si>
    <t>DROUGHT</t>
  </si>
  <si>
    <t>WATER SUPPLY</t>
  </si>
  <si>
    <t>2018IL340B</t>
  </si>
  <si>
    <t>Characterization of harmful algal blooms using small unmanned aircraft systems and watershed analysis in southern Illinois</t>
  </si>
  <si>
    <t>Ruopu Li, Di Wu</t>
  </si>
  <si>
    <t>HABs</t>
  </si>
  <si>
    <t>INVASIVE SPECIES</t>
  </si>
  <si>
    <t>2018IL341B</t>
  </si>
  <si>
    <t>Groundwater phytoremediation and biofuels production for Crab Orchard Naional Wildlife Refuge</t>
  </si>
  <si>
    <t>Jia Liu, Md Hadiuzzaman</t>
  </si>
  <si>
    <t>Energy</t>
  </si>
  <si>
    <t>GROUNDWATER</t>
  </si>
  <si>
    <t>2018IL338B</t>
  </si>
  <si>
    <t>An experimental evaluation on the contribution of rain barrels to mosquito production</t>
  </si>
  <si>
    <t>Brian Allan, Allison Parker</t>
  </si>
  <si>
    <t>2018IL342B-Sangamon</t>
  </si>
  <si>
    <t>Comprehensive multi-measurements of groundwater and surface water interaction survey in Sangamon River</t>
  </si>
  <si>
    <t>Yu-Feng Lin</t>
  </si>
  <si>
    <t>Univeristy of Illinois</t>
  </si>
  <si>
    <t>2018IL342B-TRTDTRT</t>
  </si>
  <si>
    <t>TRT and DTRT in Energy Farm borehole site</t>
  </si>
  <si>
    <t>2018IL342B-Rantoul</t>
  </si>
  <si>
    <t>Modeling Effects of Thermo-geology on Boreholes and on the Shallow Geothermal Gradient using Distributed Temperature Sensing in Rantoul, Illinois</t>
  </si>
  <si>
    <t>2019IL089B</t>
  </si>
  <si>
    <t>Estimating Residential Hot Water Use from Smart Electricity Data</t>
  </si>
  <si>
    <t xml:space="preserve">Ashlynn S. Stillwell </t>
  </si>
  <si>
    <t>2019IL090B</t>
  </si>
  <si>
    <t>Electrochemically-mediated Adsorption Systems for Selective Nitrate Recovery: Agriculture and the Water-energy Nexus</t>
  </si>
  <si>
    <t>Xiao Su</t>
  </si>
  <si>
    <t>TREATMENT</t>
  </si>
  <si>
    <t>2019IL091B</t>
  </si>
  <si>
    <t>Improving Denitrifying Woodchip Bioreactor Design and Management through Denitrification Potential Testing</t>
  </si>
  <si>
    <t>Laura Christianson</t>
  </si>
  <si>
    <t>2019IL092B</t>
  </si>
  <si>
    <t>Assessment of Floating Gardens to Improve the Water Quality of the Chicago River</t>
  </si>
  <si>
    <t>NITRATE CONTAMINATION</t>
  </si>
  <si>
    <t>2020IL216B</t>
  </si>
  <si>
    <t>A Coupled Urban Spatial Simulation and Stormwater Runoff Model and Its Implications for Physrical Design: The Case of Chicago</t>
  </si>
  <si>
    <t>Brian Deal</t>
  </si>
  <si>
    <t>2020IL212B</t>
  </si>
  <si>
    <t>Illinois Water Resources Center Research for Future Generations</t>
  </si>
  <si>
    <t>Maryam Ghadiri</t>
  </si>
  <si>
    <t>2020IL214B</t>
  </si>
  <si>
    <t>Low Cost Mycelial Stabilization of Coal Combustion Products to Reduce as, and Contamination of Groundwater</t>
  </si>
  <si>
    <t>Linduo Zhao</t>
  </si>
  <si>
    <t>2020IL217B</t>
  </si>
  <si>
    <t>Modeling the Effects of Green Stormwater Infrastructure Implementation on Urban Hydrology and Urban Heat Islands in Illinois</t>
  </si>
  <si>
    <t>Lei Zhao</t>
  </si>
  <si>
    <t>2020IL215B</t>
  </si>
  <si>
    <t>Towards Better Agricultural Drought Assessment and Irrigation Management: Improving the Simulation and Understanding of Plant Water Stress for Crops in Noah-MP Surface Model</t>
  </si>
  <si>
    <t xml:space="preserve">Kaiyu Guan </t>
  </si>
  <si>
    <t>2020IL218B</t>
  </si>
  <si>
    <t>Utilizing a Tracer Test to Calculate the Transport and Fate of Nitrate Withing a Saturated Budder Zone</t>
  </si>
  <si>
    <t>2020IL103AIS</t>
  </si>
  <si>
    <t>104g - AIS</t>
  </si>
  <si>
    <t>Water Quality as a Detterent to the Movement of Invasive Fishes in the Illinois Waterway: Implications for the Upper Mississippi Basin</t>
  </si>
  <si>
    <t>Cory Suski</t>
  </si>
  <si>
    <r>
      <t xml:space="preserve">Project ID
 </t>
    </r>
    <r>
      <rPr>
        <b/>
        <sz val="10"/>
        <color rgb="FF000000"/>
        <rFont val="Calibri"/>
        <family val="2"/>
        <scheme val="minor"/>
      </rPr>
      <t>(auto-populated form the "Project Overview" tab)</t>
    </r>
  </si>
  <si>
    <r>
      <t>Project Summary and/or Impact</t>
    </r>
    <r>
      <rPr>
        <b/>
        <sz val="10"/>
        <color rgb="FF000000"/>
        <rFont val="Calibri"/>
        <family val="2"/>
      </rPr>
      <t xml:space="preserve"> 
(There should be a project summary and/or impact for each project, note that this tab replaces the fillable "Project Details" PDF from previous years.  Please use plain language [no technical terms], no acronyms, and limit to approximately 250 words. We recommend using this web app to evaluate the technical level of your text: </t>
    </r>
    <r>
      <rPr>
        <b/>
        <i/>
        <sz val="10"/>
        <color rgb="FF000000"/>
        <rFont val="Calibri"/>
        <family val="2"/>
      </rPr>
      <t>https://hemingwayapp.com/, with a target of 5-6th grade level.</t>
    </r>
    <r>
      <rPr>
        <b/>
        <sz val="12"/>
        <color rgb="FF000000"/>
        <rFont val="Calibri"/>
        <family val="2"/>
      </rPr>
      <t>)</t>
    </r>
  </si>
  <si>
    <t>In this paper we present numerical simulations of large-scale tracer particle advection-dispersion in alluvial rivers. We specifically focus on conditions for which bedload is the dominant mode of sediment transport, and for which the river is subject to the formation of free, migrating alternate bars. We apply two formulations of the Exner equation of sediment conservation; a standard flux form, in which bed elevation change is related to the divergence of the vector of sediment transport rate, and a stochastic entrainment form, in which bed elevation change is related to the net entrainment rate of particles into bedload. In modeling tracer advection-dispersion, we use a single grain size, as well as an active layer formulation in which active layer thickness scales with grain size. We specifically consider conditions so that no be aggradation or degradation occurs when averaged over the bars. We  find  that  the  presence  of  bars  has  a  dramatic  effect  on  streamwise advection-dispersion of tracer particles. When the flux form of Exner equation is used for the case of a flat bed (no bars), tracer particles advect without dispersing. When the entrainment formulation is applied to the same condition, the particles also disperse, in response to the stochasticity associated with the PDF of particle step length. The effect of bars is to substantially increase the streamwise dispersion rate. The statistics of the pattern of advection-dispersion seen in the presence of bars are to a large degree independent of whether the flux or entrainment forms of Exner equation are used, indicating that dispersion is dominated by the bars themselves. The simulated asymptotic pattern of streamwise tracer advection-dispersion under the influence of free bars is either normal or weakly superdiffusive. The numerical model self-generates stochasticity in bar properties, including wavelength, wave height, and celerity. This in turn imparts a randomness to tracer behavior, resulting in large-scale dispersion. More specifically, the randomness of the alternate bar dimensions renders local bed surface elevation a stochastic quantity. In some cases, the probability distribution of trough elevation is such that it results in a heavy-tailed waiting time distribution; a deeply-buried particle must wait an anomalously long time before it is re-entrained. Migrating bars strongly constrain the length-scale of tracer transport, likely causing a thin-tailed distribution of travel distance. The combination of thin-tailed travel distance and heavy-tailed waiting time may be the cause of the simulated superdiffusive dispersion when it occurs. The morphological evolution of bed surface we consider in the simulation is that of alternate bars only, in the absence of bed aggradation or degradation when averaged over the bars. However, the coexistence of several static and dynamic morphological elements might make the waiting time distribution more complex, perhaps causing other dispersion behavior (e.g., subdiffusive dispersion) and perhaps affecting advection (e.g., advective slowdown), which are not illustrated in this paper. The effects of different bed morphologies (e.g., multiple-row bars, braiding and 3D dunes) and channel planform (e.g., meandering, systematic width variation, and interacting channel and floodplain) on tracer advection-dispersion invite further investigation. In addition, model extensions including e.g. sediment size mixtures, and also describing the bed in terms of a continuous vertical structure rather than the active layer formulation so as to better simulate vertical mixing of tracers in the bed [e.g. Pelosi et al., 2014, 2016], are future challenges in the pursuit of a comprehensive understanding of bedload tracer advection-dispersion in nature. This study contributes to a better understanding of tracer advection-dispersion in the global regime [Nikora et al., 2002].</t>
  </si>
  <si>
    <t>Approximately 90 sites (~25 ha each) were sampled in 2015, and another 110 were sampled in 2016. Our recently completed spring 2017 samples covered 110 sites, and a similar number will be expected for repeat surveys in spring and autumn of this year. We are continuing to digitize the survey data into a GIS for analysis once field survey is completed. The first 50 free images have been downloaded from JAXA, spanning multiple seasons and years from 2014- 2016. We will acquire additional images for that period and will also obtain images for 2017 with our remaining allotment of 100 images. The multi-season, multi-year dataset will allow analyses of patterns of wetland inundation in Illinois during that period.</t>
  </si>
  <si>
    <t>This contributed to a growing body of data on how carbonyl sulfide can be used as a proxy for plant photosynthesis and stomatal conductance (both night and day). We show very strong evidence that the carbonyl sulfide fluxes at this site track the seasonal and daily variability in photosynthesis and this is strongly controlled by soil moisture and relative humidity. This is one of the first comprehensive analyses of the nocturnal fluxes to be used in land surface models to place more realistic constraints on the processes controlling nighttime stomatal conductance. We provide a first high resolution analysis of carbon monoxide in the Chicago suburbs and show the strong effect that weekday traffic has on carbon monoxide concentrations.</t>
  </si>
  <si>
    <t>The Illinois Water Resources Center staff played a key role in writing, developing, filming,producing, and promoting a video series, “Planting for Pollinators” from inception tocompletion. The Planting for Pollinators series is a video series that contains seven shortepisodes that covers the basics of planting a pollinator friendly garden that is alsoenvironmentally friendly and promotes healthy water quality of the local rivers, lakes, andstreams.The IWRC staff coordinated and facilitated 30 meetings for the Illinois Nutrient Loss ReductionStrategy and was key in managing the various working groupsand gave a presentation on the Nutrient Loss Reduction Strategy at the Illinois StateFair.IWRC planned, facilitated, coordinated, and provided logistical support for the bi-annual IllinoisWater Conference in Urbana, IL.IWRC provided multimedia content for the Private Well Class, a flagship national 10-week educational email course for private well owners. Content provided includes the PrivateWell Podcast, well care videos, live webinars once a month with Q &amp; A that feature a variety oftopics, social media via Facebook and Twitter, and other resources.IWRC staff from the Private Well Class presented 4-hour Environmental Health ProfessionalWorkshop trainings for Continuing Education Credits in Oregon, Virginia, Massachusetts,Connecticut, Illinois, Tennessee, and online (3). IWRC participates in multiple awareness weeks – including Groundwater Awareness Week,National Drinking Water Week, and more. We host a yearly Pledge to Test campaign where wellowners pledge to test their well water and one is randomly selected to receive the cost of wellwater testing paid for, up to $200.</t>
  </si>
  <si>
    <t>Probabilistic approaches are needed to quantify and account for uncertainties in green infrastructure performance. One approach to quantifying performance reliability is through the use of fragility functions. Fragility is defined as the conditional probability of attaining or exceeding a specified standard of performance conditioned on different demand variables (i.e., loading intensity measures). Originally developed in the field of earthquake engineering, fragility functions have been used in multiple other applications, including flood control. This study developed a methodology to generate fragility curves for green stormwater infrastructure (GSI) to study the reliability of a green roof under different storm conditions. While the methodology was illustrated using a green roof case study, it is flexible enough to be extended to many other failure modes and types of green infrastructure.</t>
  </si>
  <si>
    <t>- Denitrification-mediated nitrogen (N) removal has occurred at a limited rate in constructed wetland 1 (CW1) located in Bureau County, Illinois.
- Sediment organic matter (OM) concentrations increased greatly within CW1 from nearest the inlet and decreasing to the wetland outlet during 2016 and 2017, while nitrate decreased from the inlet to the outlet at the same locations.
- The outlet half of the wetland consistently had higher concentrations and more labile OM with a higher abundancy of known denitrifying bacteria that resulted in higher removal efficiency as captured tile drainage moved through the wetland towards the outlet.</t>
  </si>
  <si>
    <t>- Of the native plant species affected by permitted impacts (developments), fewer than half are replaced in wetland mitigation banks.
- Suggests that policies requiring greater equivalence between the wetland habitat types produced in banks and those present in impacted natural wetlands prioritize the replacement of the specific wetland resources lost.</t>
  </si>
  <si>
    <t>This work constitutes a resource for TNC in managing GMP and the other prairies in the Indian Boundary Prairies to preserve biodiversity and maintain valuable ecosystem services. Continuing work at Gensburg Markham Prairie includes sampling of surface soils from the bottom of ditches during the dry season to evaluate deposition of metals and road salt constituents from water that infiltrates into the subsurface. Additional methods of estimating soil EC are also being explored to permit separation of intrinsic soil properties from anthropogenic effects on EC. As part of an ongoing partnership with Argonne National Laboratory, we are working to integrate the EC sensors installed as part of this research with larger-scale environmental sensing infrastructure via the Waggle platform (Beckman et al., 2016). This integration will permit open data dissemination in real time, allowing these measurements to inform site management decisions and be available to the public to facilitate discussion of alternative deicing strategies.</t>
  </si>
  <si>
    <t>The most notable observations in this study are the 24-hour time series vegetation uptake and multi-process increase signals. Time of maximum and minimum NO3- -N concentration data indicate vegetation uptake generates the sinusoidal trend. Time of maximum and minimum NO 3- -N concentration occurs when it would be expected for a photosynthetically controlled process. Maximum NO3- -N concentration occurs during the dark period, while minimum NO3- -N concentration occurs at the end of the photoperiod. Vegetation uptake is observed under conditions where vegetation growth is possible and sufficiently isolated from competing processes by environmental conditions. The alternate explanation for the sinusoidal trend, denitrification, is not supported by these data. If denitrification were the process responsible for the time of maximum and time of minimum NO3- -N concentration, then the denitrification rate would need to change and would have to be driven by water temperature changes. No relationship exists between 24-hour water temperature difference and NO3--N concentration difference. Additionally, these data indicate multiple processes are responsible for the increase trend. Anoxic conditions in the saturated zone coupled with water column height drops from ET provide ideal conditions for conversion of accumulated NH4+ to NO3- in the unsaturated zone. NO3- produced by nitrification in the unsaturated zone was then transported to the saturated zone by unsaturated flow. NO3- transport from the upgradiant agricultural land use are best accounts for increases during the winter.
As an area that is intensively farmed, Illinois fields receive a large amount of NO3- fertilizer yearly. Tile drains make many forms of NO3- management ineffective, exporting NO3- through soil into streams, bypassing riparian zones and making best management practices such as riparian buffers less effective. The results of this study reinforce the importance of vegetation NO3- uptake. The results presented here provide evidence for a measurable contribution of NO3- removal by vegetation. Seasons that have a significantly different μ daily [NO3--N] do not have a significantly different μdifference [NO3--N]. This means the amount of NO3- available does not influence the magnitude of change over 24-hours. If implemented, conservation practices that intercept and increase residence times of water will reduce NO3- loads. Future research could focus on quantification of total nitrogen captured by vegetation, NO3- flux in the unsaturated zone, and stable isotope methods for NO3- source and fate. This study focused on NO3- -N in the saturated zone, but other forms of nitrogen such as ammonium and nitrite in the unsaturated zone may be of interest.</t>
  </si>
  <si>
    <r>
      <t>The adverse effects of hydrophobic organic compound (HOC) contamination in sediment are often assessed using laboratory exposures of cultured invertebrates to field-collected sediment.The use of a sediment holding time (storage at 4</t>
    </r>
    <r>
      <rPr>
        <sz val="11"/>
        <color rgb="FF000000"/>
        <rFont val="Calibri"/>
        <family val="2"/>
      </rPr>
      <t>ᵒ</t>
    </r>
    <r>
      <rPr>
        <sz val="11"/>
        <color rgb="FF000000"/>
        <rFont val="Calibri"/>
        <family val="2"/>
        <scheme val="minor"/>
      </rPr>
      <t xml:space="preserve">C) between field sampling and the beginning of the bioassay is common practice, yet the effect of holding time on the reliability of bioassay results is largely unknown, especially for current-use HOCs, such as pyrethroid insecticides. Single-point Tenax extraction can be used to estimate HOC concentrations in the rapidly desorbing phase of the organic carbon fraction of sediment (i.e., bioaccessible concentrations), which relate to sediment toxicity and bioaccumulation in invertebrates. In this study, repeated measurements of bioaccessible concentrations (via Tenax), and Hyalella azteca 10-d survival and growth were made as a function of sediment holding time using pyrethroid-contaminated field sediment. Similarly, bioaccessible concentrations and 14-d bioaccumulation were measured in </t>
    </r>
    <r>
      <rPr>
        <i/>
        <sz val="11"/>
        <color rgb="FF000000"/>
        <rFont val="Calibri"/>
        <family val="2"/>
        <scheme val="minor"/>
      </rPr>
      <t>Lumbriculus variegatus</t>
    </r>
    <r>
      <rPr>
        <sz val="11"/>
        <color rgb="FF000000"/>
        <rFont val="Calibri"/>
        <family val="2"/>
        <scheme val="minor"/>
      </rPr>
      <t xml:space="preserve"> as a comparison using the legacy HOCs, polychlorinated biphenyls (PCBs). While the bioaccessible and bioaccumulated PCB concentrations did not change significantly through 244 d of holding time, the bioaccessible pyrethroid concentrations were more varied. Depending on when pyrethroid-contaminated sediments were sampled, the bioaccessible pyrethroid concentrations showed first-order loss with half-lives ranging from 3 to 45 d of holding, or slower, linear decreases in concentrations up to 14% decrease over 180 d. These findings suggest that at least in some field sediments, holding the sediments prior to bioassays can bias toxicity estimates.</t>
    </r>
  </si>
  <si>
    <t xml:space="preserve">In 2017, the Illinois Water Resources Center continued its involvement in the implementation of the Illinois Nutrient Loss Reduction Strategy (INLRS) and maintained its educational and outreach efforts through its social media presence, website, blog, and magazine. Messaging covered topics such as stormwater, nutrient management, and the great outdoors. </t>
  </si>
  <si>
    <t>VPD and SWC are highly correlated at longer timescale, so to decouple their contributions, the data are analyzed at a daily timescale. Based on the current results, we find that dry air (high VPD) is found to have a higher impact on stomatal conductance (Gs) variability compared to drysoil (low SWC), which supports our hypothesis. Further study is ongoing to understand the specific underlying processes.</t>
  </si>
  <si>
    <t>- Both drone images and water samples were collected for each water sample location in the Carbondale Reservoir and the SIUC Campus Lake. In the early summer (June 2019), we were not able to identify any algae from the Carbondale Reservoir due to very wet weather. In July, we identified both regular and toxic algae using water sampling from SIU Campus Lake. We are in the process of analyzing the statistical relationship between the spectral values of images and water quality indicators.</t>
  </si>
  <si>
    <t>- Low concentration of Cr (VI) can be remediated using H. annuus L. which was identified as a hyperaccumulator.
- Grade A biosolids are applicable as a soil amendment for providing nutrients to the plants, and biosolids were found to be better than low nitrogen fertilizer in terms of plant growth.
- PCE/TCE were fully removed from the contaminated soil matrix, which might be possibly due to plant uptake, degradation, plant volatilization or soil volatilization.
- Increased microbial biomass after phytoremediation indicates that the activity of rhizosphere microorganisms was improved which could help the remediation process.
- The very low concentration of Cr (VI) in the obtained biodiesel makes it a potential source of renewable fuel.</t>
  </si>
  <si>
    <t>- Surveys of container type and juvenile mosquito presence was recorded weekly for ten weeks on 83 residential properties in the cities of Champaign and Urbana, Champaign County, IL.
- Large containers (holding ~100L of water) had the greatest abundance of mosquitoes.
- Aedes albopictus, a Zika, dengue and chikungunya virus vector, was found in all container types.
- Culex restuans and Cx. pipiens, both vectors of West Nile virus (WNV), were mostly found in large containers.
- Species composition within the container habitats shifted over the course of the mosquito season.
- For Culex species, the greatest number of egg rafts were laid in the garbage can. More egg rafts were laid in flower pots compared to saucers. When the garbage can was removed, the total number of egg rafts decreased compared to sites where the garbage can remained for the duration of the study.
- For Aedes spp., the least number of eggs were laid in the saucers compared to the flower pots and garbage cans. There was no difference in the number of eggs laid before or after removal of the garbage can. At sites where the garbage can was removed, the number of eggs laid in the flower pots increased.</t>
  </si>
  <si>
    <t>The survey results of Sangamon River site showed that the FO-DTS method was able to identify and locate the potential GWSW interaction zone by characterizing the temperature regime of the streambed. The VTG was capable of confirming groundwater vertical flux inside the interaction zone. And the ERT method verified the GWSW interaction in the streambed according to the groundwater flow channel predication.</t>
  </si>
  <si>
    <t>In the 97.5 m deep borehole at Energy Farm of University of Illinois at Urbana-Champaign, a thermal response test (TRT) and a distributed thermal response test (DTRT) were carried out to analyze the homogeneous thermal properties and heterogenous thermal properties, separately. DTRT is a hybrid method coupling a conventional TRT and fiber-optic distributed temperature sensing (FO-DTS) which allows for an analysis of thermal properties along the subsurface layer by layer. According to the 3-D multiphysical model simulation, the DTRT will improve the spatial resolution of thermal properties predication as compared to TRT, which assumes the subsurface as a homogeneous solid. In on-going work, both ground thermal regimes will be analyzed during DTRT to compare how the thermal properties vary with different testing phases and scenarios to evaluate the working efficacy balance of the ground source heat pump.</t>
  </si>
  <si>
    <t>Using fiber-optic distributed temperature sensing (FO-DTS) to study a geothermal exchange system requires great precision. The ease of use and capability to determine the temperature of different media (water, air, soil, etc.) at higher temporal and spatial resolutions compared with other technologies allows for its use in a range of applications and environments. In this study, FO-DTS was conducted in two adjacent boreholes: 1) a cased groundwater monitoring 40-m deep and 2) a grouted, uncased borehole extending 100 m below ground. The fiber optic cable was installed vertically in both boreholes, attached to the PVC pipe in the cased borehole and sealed against the sidewall with bentonite grout in the other. Thermal profiles were measured over a 2- year period from 2015–2017. Following the data collection, heat transfer in the subsurface around both boreholes under both saturated and unsaturated conditions were numerically evaluated. According to previous studies in Central Illinois, the transient water table in the surficial zone fluctuates within the upper 10 to ~15 m. The temperatures measured in this zone are susceptible to seasonal fluctuations in climate conditions at the ground surface. Below this zone, temperatures are mainly controlled by the local geothermal gradient. In this research, we will show how heterogeneities in the thermo-geology and well construction materials impact the natural geothermal gradient in the shallow subsurface.</t>
  </si>
  <si>
    <t>In this project, we estimate residential hot water use from smart electricity data for areas in greater Chicago. We use a non-intrusive load monitoring (NILM) algorithm to estimate elctricty for water heating, as a measure of hot water consumption, using meter-level data for single-family residential homes (with electric space heat) at 30-minute resolution. Results indicate that water heating in the analyzed single-family residential homes accounted for 7-20% of total electricity consumption, representing an average of 40-60 gallons of hot water consumption per day. These results also demonstrated significant spatial variability, such that some areas of Chicago show higher per household hot water use. Our findings reveal that disaggregation of electricity meter data can provide an estimate of water heating; however, those estimates have significant uncertainty due to the temporal resolution of the electricity data. These findings 1) provide estimates (albeit overestimation) of hot water consumption in single-family residential homes; 2) demonstrate spatial variability in water heating and energy load; and 3) emphasize the need for finer temporal resolution electricity data for further study.</t>
  </si>
  <si>
    <t>We developed a hybrid structure which consists of an electrically-conductive support framework (carbon black and carbon nanotubes (CNTs)) with the coating of redox-responsive polymeric films (polyvinylferrocene (PVF), poly-TEMPO-methcrylate (PTMA), polypyrrole (PPy), polyaniline (PANI), Poly(3-hexylthiophene-2,5-diyl) (P3HT)). In our preliminary result using density-functional theory (DFT), it was shown that nitrate binds strongly to oxidized ferrocene group. In our lab-scale preliminary tests, PVF-CNT electrode showed fast adsorption kinetics (reaching equilibrium within 1 h), and the highest uptake up to 200 mg/g. This model polymer allowed electrochemically-controlled capture and release of nitrate, like on/off switches, exhibiting &gt;95% regeneration efficiencies and thus demonstrating fully reversible, electrochemically modulated nature of our process. In addition, we found that PANI revealed the higher adsorption uptake than any other materials tested (45 mg/g for PANI and 10 mg/g PVF at 1 mM nitrate). We hypothesize that hydrogen bonding with protonated amine group (-NH2+) site is responsible for selective separation. Redox-mediated operation allows adsorption and desorption via simple electrical swings with minimal pH, temperature or other changes in solution conditions, and combines the inherent advantages of electrochemical methods, including high capacity, fast kinetics and modularity, without the selectivity limitations present in traditional capacitive deionization. Thus, this energetically-efficient, point-of-source system for nitrate recovery will be expected to strongly increase community reslience to nutrient problems, and provide a techno-economic motivation to agricultural stakeholders to employ these technologies on the long-term.</t>
  </si>
  <si>
    <t>Denitrifying woodchip bioreactors promote biological removal of nitrate to prevent negative environmental consequences of nitrate loading to downstream waters. Bioreactor media should promote complete denitrification while maintaining high rates favorable for nitrate removal. Considering woodchip type, oak had the highest denitrification potential, which also corresponded to the most nitrate removal in lab studies. The overall proportion as N2O was low for all submerged woodchips (&lt;14%), suggesting that woodchips generally have high potential for complete denitrification. There were higher denitrification potentials when carbon was added, suggesting that some bioreactors may experience carbon limitations. Without exposure to drainage water, fresh woodchips were capable of denitrification, albeit at a much lower rate than active or spent woodchips harvest from an operational bioreactor in the field. This demonstrates that denitrifying organisms are present in woodchip media prior to installation in bioreactors. Overall, woodchip type and properties should be an additional consideration for bioreactor design and construction, but this needs to be contextualized within practical factors such as woodchip availability and cost. In addition, field conditions are known to influence performance and N2O proportions should be monitored over time to ensure bioreactors are reaching optimal performance.</t>
  </si>
  <si>
    <t xml:space="preserve">The work was a pilot study investigating the potential of floating gardens to improve the water quality of an urban stream, the Chicago River. The results showed that concentrations of nitrate as nitrogen in the waters were lower after flowing past the floating garden. Statistical differences were noted in the surface concentrations during both the growing season (t(22) = 1.9, p = 0.03) and the dormant season (5(18) = 4.1, p &lt; 0.001) at the surface. The 0.3 m depth says statistically significant lower concentrations in the dormant season (t(11) = 2.1, p = 0.3). During the non-growing season, which aligns with periods of highest chloride concentrations, the 0.3 m depth say a significant decrease in chloride concentrations after the water flowed under the garden (t(11) = 2.1, p = 0.03). The pilot project shows that floating gardens have the ability to improve the water quality of river systems. </t>
  </si>
  <si>
    <t>This project argues that designing for resilience in contemporary landscape architecture should be a cross-disciplinary endeavor that is driven by an understanding of urban system science. The shift in focus from a designer-controlled process as a normative exercise to landscape design within the context of a multitude of exigent circumstances requires designers to understand the mechanisms underlying complex systems. Despite the rush to establish design or planning guidelines to cope with emerging resilience issues, however, the integration of urban system science with design creation is still an arduous task. To this aim, we need to have complex (but accessible) analytical approaches that investigate urban dynamics and that produce information that landscape architects find useful, practical, and understandable. This project explores ways to promote a science based design process that is actively incorporated with quantifiable information, dynamic modeling systems, and real-world applications. Our results show that location choices of land development are affected by not only typical socioeconomic variables but also hydrological variables and that those relationships appear to be nonlinear. The coupled GSSHA-LEAM system enables the exploration of bi-directional effects between LUC and runoff by iteratively coupling modeling input and outputs at a similar spatial scale (30m x 30m). This project ultimately contributes to efforts to move toward more robust and resilient regional planning and applications that take into account changing environmental and social conditions. It supports the need for cell-based forward-looking dynamic modeling to better understand potential sociohydrological interactions and strategically establish a resilient built environment.</t>
  </si>
  <si>
    <t>The focus of this study was estimation of hydraulic conductivity in a watershed using Multi-source Data via Co-Kriging and Bayesian Experimental Design. We presented a quantitative Multi-fidelity framework and for the first time combined information from Electrical Earth Resistivity (EER) tests and pumping tests (as two tests with different accuracies) to enhance the understanding about the geological and hydrological characteristics of a watershed. Also, for the first time, we investigated how future tests with different fidelities should be conducted to optimally enhance our understanding about the hydraulic properties of a region. Specifically, we studied an intensively managed area located in the Upper Sangamon Watershed in Central Illinois, U.S.A., and generated 2D maps of hydraulic conductivity over a large-scale region with quantified uncertainties in different depth layers. We also investigated how a more accurate model can "learn" from new sensors using probablistic statistical tools, and how the best locations for future data collection can be selected.</t>
  </si>
  <si>
    <t>This project investigated the growth condition for the production of water-impermeable biological barriers using fungal mycelium, especially in the presence of fly ash that has inhibitory effects on fungal growth. The results show the investigated fungi still can produce massive mycelium when the ratio of fly ash to the fungal growth medium is 15:1. Moreover, our results indicate the application of fungal mycelium film as the water-impermeable barrier can effectively prevent water infiltration into the fly ash impoundment. As a result, fungal mycelial application reduced the As leaching potential fly ash under the subsurface flow conditions. With the fungal mycelial film, the As concentration in the fly ash leachate dropped by 84% compared to the control group. This study offers an innovative, sustainable, and cost-effective route to design the new CCR covers and manage the unlined/inadequately-lined legacy sites.</t>
  </si>
  <si>
    <t>Our research indicates that the Community Earth System Model's (CESM) hydrologic modeling capabilities regarding runoff are spatially "robust", or perform acceptably well under a range of possible conditions. When averaged annually, CESM's projections correlated well with a groundtruthed observational dataset, University of New Hampshire-Global Runoff Data Centre (UNHGRDC), and a reanalysis dataset from NASA, Modern-Era Retrospective analysis for Research and Applications, Version 2 (MERRA-2), but there are still prominent areas where CESM is not as strong in accurately predicting runoff compared to UNHGRDC and MERRA-2. After this validation was completed, we moved to bridging the local-scale U.S. Environmental Protection Agency Stormwater Management Model (EPA-SWMM) to the global scale CESM to respresent and parameterize widespread green stormwater infrastructure (GSI) implementation. We identified three relevant parameters and their corresponding calibrated values that could be used as inputs into the land component of CESM: saturated hydraulic conductivity, maximum ponded depth, and porosity. We have developed a parameterization implementing these values into the top 6 layers of the urban land model component of CESM, representing the depth of a rain garden, and are preparing simulations. Our ongoing work focuses on simulating GSI in CESM in 30 U.S. cities with combined sewer overflow issues; three of these cities are located in Illinois.</t>
  </si>
  <si>
    <t>Accurately quantifying plant water use is critically important for understanding ecosystem response to drought, yet the current modeling approaches have large uncertainties. This study provides a unified framework of different theories for modeling plant water use, illustrates the relationships and conversions between different models, quantifies their similarities and differences and evaluated their applicability under different environmental conditions. Through this study, we have three important findings. First, we found that mathematically simplified models can be represented by a full plant hydraulic model under certain conditions. For example, the supply-demand balance scheme is a plant hydraulic model with infinite xylem to leaf conductance and a step function- like leaf stomata response to leaf water potential. Second, we decomposed the difference of the aggregate behaviors between the fill model and the simplified model and found that the simplified models can recover the missing processes by introducing new components. Third, we argue that the importance of the discrepancies between the simplified models and the full model can be assessed in a systematic way. We thus propose a framework for assessing the applicability of simplified models under different environmental conditions. This framework improves our understanding of modeling plant water use and would greatly help modelers choose the most suitable models for the intended applications. This study would have broad interest from ecosystem modeling applications and especially contribute to agricultural water management (e.g., irrigation) and help achieve the cosustainability of food production and water resources.</t>
  </si>
  <si>
    <t>The project was undertaken to quantify the travel times of waters introduced into a saturated buffer zone (SBZ), which would allow for the calculation of the nitrate reduction within the system. SBZs are a possible best management practice that can be employed to intercept tile drainage water prior to discharge in streams. While the utility of SBZ is not in question, studies have shown that denitrification and plant uptake are removal mechanisms, understanding the travel time (distances) that are needed for the SBZ systems to be effective is not well documented. This work was an attempt to provide data and insight to address this knowledge gap. The results from the tracer test 1) quantified the travel times for waters in a saturated buffer zones situated in glacial materials. The initial calculations conducted prior to the test suggested a travel time of approximately 70 days. After the tracer injection, the down gradient wells had their peak tracer concentrations at 13-15 days, which was the result of a higher than anticipated hydraulic gradient. Despite the shorter time, the data showed that between 38% to 100% of the nitrate introduced from the tile drainage system was removed along the travel path. As the observation wells were different distances from the diversion tile, the results had a linear relationship between distance (time) traveled and nitrate reduction. These data can be used to help develop SBZ systems that provide optimal reduction given limitations of land available.</t>
  </si>
  <si>
    <t>No project updates as the project didn't commence until September 1, 2021.</t>
  </si>
  <si>
    <t>Project ID</t>
  </si>
  <si>
    <t>Description of Equipment (type and model)</t>
  </si>
  <si>
    <t>Cost of Equipment (&gt;$5000 only)</t>
  </si>
  <si>
    <t>Number of students per year                                                that use this equipment</t>
  </si>
  <si>
    <t>Additional Comments</t>
  </si>
  <si>
    <t xml:space="preserve">Product Type   (Journal article, report, dataset, with Digital Object Identifier)              </t>
  </si>
  <si>
    <r>
      <t xml:space="preserve">Product Citation
 </t>
    </r>
    <r>
      <rPr>
        <b/>
        <sz val="11"/>
        <color rgb="FF000000"/>
        <rFont val="Calibri"/>
        <family val="2"/>
        <scheme val="minor"/>
      </rPr>
      <t>(Indicate Digital Object Identifier and publication year in appropriate adjoining columns. If none available, go to "Other Products" Tab,  and list product type and stage of completion. Provide further details about the doi product in the Additional Comments column. This list may include citations for projects from this 5-year period and one previous year, so long as the citation was not already included in previous year's report)</t>
    </r>
  </si>
  <si>
    <t xml:space="preserve">Digital Object Identifier (DOI) </t>
  </si>
  <si>
    <t xml:space="preserve">Year of Publication </t>
  </si>
  <si>
    <t>How many USGS staff were co-authors of this product?</t>
  </si>
  <si>
    <t>How many students were co-authors of this product?</t>
  </si>
  <si>
    <t>Additional Comments
 (if publication was associated with a series of awards, please only report it once, but include other relevant award IDs here)</t>
  </si>
  <si>
    <t>Journal Article</t>
  </si>
  <si>
    <t>https://doi.org/10.3390/w11081688</t>
  </si>
  <si>
    <t>https://doi.org/10.1061/9780784481400.038</t>
  </si>
  <si>
    <t>Product Type                  (select from product categories)</t>
  </si>
  <si>
    <r>
      <t xml:space="preserve">Product Citation
 </t>
    </r>
    <r>
      <rPr>
        <b/>
        <sz val="11"/>
        <rFont val="Calibri"/>
        <family val="2"/>
        <scheme val="minor"/>
      </rPr>
      <t>(Indicate Web-page or other identifier in adjacent column; if none available, provide further detail in the"Stage of Product" and/or "Additional Comments" column. This list may include citations for projects from the previous year before this 5-year cycle, so long as the citation was not already included in the previous year's report)</t>
    </r>
  </si>
  <si>
    <t xml:space="preserve">Web-page, ISBN, or other identifier </t>
  </si>
  <si>
    <t>Stage of Product, if not complete                   (inProgress, submitted/inReview, inRevision, inProofs, complete but no weblink established)</t>
  </si>
  <si>
    <t>Thesis/Dissertation</t>
  </si>
  <si>
    <t>Constructed Wetlands to Reduce Nutrients from Runoff in Croplands: The Implications for Urban Stormwater</t>
  </si>
  <si>
    <r>
      <t xml:space="preserve">Award, Achievement, or Grant
</t>
    </r>
    <r>
      <rPr>
        <b/>
        <i/>
        <sz val="11"/>
        <color rgb="FF000000"/>
        <rFont val="Calibri"/>
        <family val="2"/>
        <scheme val="minor"/>
      </rPr>
      <t xml:space="preserve"> </t>
    </r>
    <r>
      <rPr>
        <b/>
        <i/>
        <sz val="10"/>
        <color rgb="FF000000"/>
        <rFont val="Calibri"/>
        <family val="2"/>
        <scheme val="minor"/>
      </rPr>
      <t>(This may include awards and achievements for projects from the previous year to this 5-year cycle, so long as they were not already included in last year's report)</t>
    </r>
  </si>
  <si>
    <t>Source? Identify the Organization</t>
  </si>
  <si>
    <r>
      <t xml:space="preserve">Description of Award, Achievement, or Grant
</t>
    </r>
    <r>
      <rPr>
        <b/>
        <sz val="11"/>
        <color rgb="FF000000"/>
        <rFont val="Calibri"/>
        <family val="2"/>
        <scheme val="minor"/>
      </rPr>
      <t xml:space="preserve"> </t>
    </r>
    <r>
      <rPr>
        <b/>
        <sz val="10"/>
        <color rgb="FF000000"/>
        <rFont val="Calibri"/>
        <family val="2"/>
        <scheme val="minor"/>
      </rPr>
      <t>(This may include awards and achievements for projects from the previous year to this 5-year cycle, so long as they were not already included in last year's report)</t>
    </r>
  </si>
  <si>
    <t>Award Recipient(s), Name</t>
  </si>
  <si>
    <t>Date (Mo/Year)</t>
  </si>
  <si>
    <r>
      <rPr>
        <b/>
        <i/>
        <sz val="12"/>
        <color rgb="FF000000"/>
        <rFont val="Calibri"/>
        <family val="2"/>
        <scheme val="minor"/>
      </rPr>
      <t>Who was the recipient?</t>
    </r>
    <r>
      <rPr>
        <sz val="12"/>
        <color rgb="FF000000"/>
        <rFont val="Calibri"/>
        <family val="2"/>
        <scheme val="minor"/>
      </rPr>
      <t xml:space="preserve"> </t>
    </r>
  </si>
  <si>
    <t>Monetary Benefit of Award or Achievement (if applicable; use NA if not applicable)</t>
  </si>
  <si>
    <t>Award</t>
  </si>
  <si>
    <t>UCOWR</t>
  </si>
  <si>
    <t>UCOWR Early Career Award for Applied Research</t>
  </si>
  <si>
    <t>Dr. Ashlynn Stillwell</t>
  </si>
  <si>
    <t>PI</t>
  </si>
  <si>
    <t>First place recipient Ph.D. Dissertation Award in the category of Water Policy and SocioEconomics</t>
  </si>
  <si>
    <t>Dr. Christopher Chini</t>
  </si>
  <si>
    <t>Achievement</t>
  </si>
  <si>
    <t>Dissertation was nominated for the UCOWR Ph.D. Dissertation Award in Natural Science and Engineering, but was not selected.</t>
  </si>
  <si>
    <t>Dr. David Waterman</t>
  </si>
  <si>
    <t>University Level Scholar Excellence Award</t>
  </si>
  <si>
    <t>Dr. Michael Lydy</t>
  </si>
  <si>
    <t>Morris Doctoral Fellowship</t>
  </si>
  <si>
    <t>Sam Nutile</t>
  </si>
  <si>
    <t>Student</t>
  </si>
  <si>
    <t>REACH Award for undergraduate research</t>
  </si>
  <si>
    <t>Andrew Derby</t>
  </si>
  <si>
    <t>Master’s Fellowship Award</t>
  </si>
  <si>
    <t>Tristin Miller</t>
  </si>
  <si>
    <t>Luis Prado</t>
  </si>
  <si>
    <t>Dissertation Research Assistantship</t>
  </si>
  <si>
    <t>Federico Sinche</t>
  </si>
  <si>
    <t>Corie Fulton</t>
  </si>
  <si>
    <t>Courtney Fung</t>
  </si>
  <si>
    <t>Allison Parker</t>
  </si>
  <si>
    <t>American Fisheries Society</t>
  </si>
  <si>
    <t>Award from the Illinois Chapter of the American Fisheries Society to contribute to this project</t>
  </si>
  <si>
    <t>Amy Schneider</t>
  </si>
  <si>
    <t>One of 11 research awards from the university-wide Undergraduate Research Support Program (URSP)</t>
  </si>
  <si>
    <t>Joe Hoberg</t>
  </si>
  <si>
    <t>Recognition in the category of Outstanding Research Promise as the top first year graduate student (2021).</t>
  </si>
  <si>
    <t>Alhassan Sahad</t>
  </si>
  <si>
    <t>Title/Username of Social Media</t>
  </si>
  <si>
    <t>Social Media Activity (Type)</t>
  </si>
  <si>
    <t>Estimated Audience Size</t>
  </si>
  <si>
    <t>Primary Audience Type</t>
  </si>
  <si>
    <t xml:space="preserve">If relevant, how did this activity foster Diversity, Equity, Inclusion, Accessibility, &amp; Justice? Please elaborate </t>
  </si>
  <si>
    <t>Presentation Title</t>
  </si>
  <si>
    <t>Venue</t>
  </si>
  <si>
    <t xml:space="preserve">Who was the presentor? </t>
  </si>
  <si>
    <t>How many students were co-authors of this presentation?</t>
  </si>
  <si>
    <t>How many USGS staff were co-authors of this presentation?</t>
  </si>
  <si>
    <t>Additional Description (if applicable)</t>
  </si>
  <si>
    <t>Application of a bioaccessibility-based method for pyrethroid insecticides: A case study</t>
  </si>
  <si>
    <t xml:space="preserve">UCOWR/NIWR Annual Water Resources Conference </t>
  </si>
  <si>
    <t>Does the use of a sediment holding time bias laboratory bioassay results?</t>
  </si>
  <si>
    <t>Overview and mechanisms of resistance in the freshwater crustacean Hyalella Azteca</t>
  </si>
  <si>
    <t>SETAC North America 39th Annual Meeting</t>
  </si>
  <si>
    <t>Are pyrethroid insecticides a threat to aquatic non-target species?</t>
  </si>
  <si>
    <t>Illinois Sustainable Technology Center</t>
  </si>
  <si>
    <t>Michael J. Lydy</t>
  </si>
  <si>
    <t>Academic</t>
  </si>
  <si>
    <t>Are provisional species of Hyalella azteca capable of producing viable offspring and are the resulting offspring less able to handle environmental challenges?</t>
  </si>
  <si>
    <t>Southern Illinois University Undergraduate Creative Avtivities and Research Forum</t>
  </si>
  <si>
    <t>Assessing dominance of pyrethroid insecticide resistance in Hyalella azteca by crossbreeding homozygous resistant (L925I) and non-resistant (wild-type) populations</t>
  </si>
  <si>
    <t>The contribution of detoxification pathways to pyrethroid resistance in Hyalella azteca</t>
  </si>
  <si>
    <t>Ozark Prairie SETAC</t>
  </si>
  <si>
    <t>Remediation of Cr(VI)-contaminated soil from a superfund site using sunflower Helianthus annuus L.</t>
  </si>
  <si>
    <t>Jia Liu</t>
  </si>
  <si>
    <t>Biosolids as an alternative to conventional chemical fertilizers for sunflower (Helianthus annuus L.) in phytoremediation of Cr(VI)-contaminated soil from a
superfund site.</t>
  </si>
  <si>
    <t xml:space="preserve">Southern Illinois University Materials Technology Center Poster Session </t>
  </si>
  <si>
    <t>Remediation of trichloroethylene (TCE) and tetrachloroethylene (PCE) contaminated groundwater from a Superfund site using sunflower Helianthus annuus L</t>
  </si>
  <si>
    <t>Southern Illinois University UN Sustainable Development Goals Event</t>
  </si>
  <si>
    <t>Identifying Factors Influencing Tile Drainage Nutrient Removal Efficiency in Constructed Wetlands</t>
  </si>
  <si>
    <t>American Society of Civil Engineers Environmental and Water Research Institute (ASCE-EWRI) 2019 World Environmental &amp; Water Resources
Congress</t>
  </si>
  <si>
    <t>Impact of Drought Conditions on Nutrient Removal, Sediment Organic Matter, and Microbial communities in a Treatment Wetland</t>
  </si>
  <si>
    <t>Association of Environmental Engineering &amp; Science Professors (AEESP</t>
  </si>
  <si>
    <t>American Geophysical Union Academic &amp; Science (AGU)</t>
  </si>
  <si>
    <t>Annual Changes in the Sediment Microbiome Structure During Development of a Constructed Wetland</t>
  </si>
  <si>
    <t xml:space="preserve">American Society for Microbiology (ASM) Microbe </t>
  </si>
  <si>
    <t>Treatment Wetlands: A Key Technology for Meeting the Illinois Nutrient Reduction Strategy Goals</t>
  </si>
  <si>
    <t>Invited speaker</t>
  </si>
  <si>
    <t>Sediment Microbiome Dynamics in a Nutrient Treatment Wetland Sediment</t>
  </si>
  <si>
    <t>Battelle Contaminated Sediment Conference</t>
  </si>
  <si>
    <t>StormCon Conference</t>
  </si>
  <si>
    <t>Demonstrating and Monitoring Nutrient Removal in a Constructed Wetland</t>
  </si>
  <si>
    <t>Illinois Water Conference</t>
  </si>
  <si>
    <t>Validating runoff of the Community Earth System Model (CESM) CMIP6 simulation against surface observation and reanalysis data</t>
  </si>
  <si>
    <t>American Geophysical Union Fall Meeting</t>
  </si>
  <si>
    <t>Education or Outreach Activity (Include Conference and Workshop Sponsorship or Assistance, Citizen Science, Water Education for Teachers (WET), Support for Local Advisory Consortiums, etc.)</t>
  </si>
  <si>
    <t>Primary Audience Type    (Select from list)</t>
  </si>
  <si>
    <t>Did this activity foster Diversity, Equity, Inclusion, Accessibility, &amp; Justice? Please elaborate</t>
  </si>
  <si>
    <t>Drone-based Water Quality Monitoring for Harmful Algal Blooms. Dr. Ruopu Li. Invited talk for the local community under Southern Illinois Volunteer Lake Monitoring Program in Marion, IL</t>
  </si>
  <si>
    <t>Treatment Wetlands for Meeting the Illinois Nutrient Reduction Strategy Goals at Nothern Illinois Public Forum</t>
  </si>
  <si>
    <t>Public</t>
  </si>
  <si>
    <t>USGS Point of Contact/s (Name/s)</t>
  </si>
  <si>
    <t>USGS Point of Contact/s Affiliation (Work Unit/s)</t>
  </si>
  <si>
    <t>USGS Collaboration</t>
  </si>
  <si>
    <r>
      <t xml:space="preserve">Description of Other Activity 
</t>
    </r>
    <r>
      <rPr>
        <b/>
        <sz val="10"/>
        <rFont val="Calibri"/>
        <family val="2"/>
        <scheme val="minor"/>
      </rPr>
      <t>(e.g., media interviews, technology transfer activity, etc.)</t>
    </r>
  </si>
  <si>
    <t>Web-page, Web Link, or Other Identifier (if applicable)</t>
  </si>
  <si>
    <t>Result</t>
  </si>
  <si>
    <t>Recommendations</t>
  </si>
  <si>
    <t>Action</t>
  </si>
  <si>
    <t>Comments</t>
  </si>
  <si>
    <t>Pass</t>
  </si>
  <si>
    <t xml:space="preserve">The panel recommends using the advisory board as well as working partnerships (i.e., nutrient reduction strategy groups) to identify the most pressing research needs and coordinating the competitive grants program accordingly. </t>
  </si>
  <si>
    <t>Overall, the Institute provides some concrete examples of quality and relevant work, particularly the Institute’s role in developing and implementing the state’s nutrient loss reduction plan and their collaboration for better education and outreach on private wells.</t>
  </si>
  <si>
    <t xml:space="preserve">The panel encourages the Institute to fund more PIs in junior faculty ranks. The number of students impacted is quite satisfactory; the panel encourages the Institute to develop strategies, metrics, and documentation for significant educational impacts. </t>
  </si>
  <si>
    <t>The institute has a rigorous RFP process that includes institutions of higher education state-wide.</t>
  </si>
  <si>
    <t xml:space="preserve">The panel would like to see additional information on the scope and subsequent impacts of the information transfer program. </t>
  </si>
  <si>
    <t>The peer review process for selecting proposals is strong.</t>
  </si>
  <si>
    <t>The panel encourages the state or university to provide additional discretionary funds or salary support to the Institute</t>
  </si>
  <si>
    <t>Keywords</t>
  </si>
  <si>
    <t>Cross-Discipline Science</t>
  </si>
  <si>
    <t>Cross-Discipline Landscape</t>
  </si>
  <si>
    <t>Science Priority</t>
  </si>
  <si>
    <t>ACID DEPOSITION</t>
  </si>
  <si>
    <t>Water-Related Hazards and Climate Variability</t>
  </si>
  <si>
    <t>ECONOMICS</t>
  </si>
  <si>
    <t>GEOCHEMICAL PROCESSES</t>
  </si>
  <si>
    <t>HYDROGEOCHEMISTRY</t>
  </si>
  <si>
    <t>IRRIGATION</t>
  </si>
  <si>
    <t>LAW, INSTITUTIONS, AND POLICY</t>
  </si>
  <si>
    <t>RADIOACTIVE SUBSTANCES</t>
  </si>
  <si>
    <t>RECREATION</t>
  </si>
  <si>
    <t>WASTEWATER</t>
  </si>
  <si>
    <t>WATER QUANTITY</t>
  </si>
  <si>
    <t xml:space="preserve">Pyrethroid insecticides were detected in 76% of the total, and 67% of the bioaccessible sites (n=49). Total average sum of pyrethroids was 259 ng/g organic carbon and 43.9 ng/g of bioaccessible pyrethroids. Bifenthrin was the most commonly detected pyrethroid. Only 28% and 15% of sediments caused a decrease in H. azteca biomass and survival. Using a temperature-based focused toxicity identification evaluation, confirmed that pyrethroids were a causual factor in the toxicity of 10 of the 12 sediments tested. Prevalence of bioaccessible and total pyrethroids detected in urban streambed sediments indicating that more cost-effective Tenax extraction methods can be used to survey pyrethroids. While a significant relationship existed between Tenax concentrations and toxicity, this relationship was complicated by several factors, including the paucity of toxicological parameters, uncertainties in standard bioassays, and more contaminants present in sediment, which all point to the need for more bioavailability-based studies. Pyrethroid-resistant H. azteca were not found, but, other amphipods present in the pyrethroud-contaminated urban stream were more tolerant to permethrin exposure than non-resistant H. azteca. Bioaccessible and bioaccumulated polychlorinated biphenyl (PCB) concentrations did not change significantly during the holding time, however, the bioaccessible pyrethroid concentrations were more varied, suggesting that holding time of the sediments prior to bioassay can potentially bias the bioassay tests. </t>
  </si>
  <si>
    <t>Outcomes from these activities present spatial and temporal data for Cl - within a watershed impacted by deicing agents. Results identify seasonal trends in the concentration of Cl - in the LKC watershed, with elevated concentrations in the winter. However, periodic spikes during the summer follow precipitation events. The spikes appear to be associated with Cl - stored within the aquifer system that is released in response to infiltration associated with the precipitation events. The continued use of roads salts will continue to elevate the concentration of Cl - with in the waters. If the application of Cl - ceased, the watershed would not fully recover within 50 years. Residual Cl - would remain in the system. The numerical modeling approach provides an initial evaluation; additional modeling incorporating transient flow will be needed to support all future research activities and develop appropriate BMPs for Cl - applications.
The Illinois State Geological Survey and the Illinois State Water Survey have examined the issue of road salts in the Chicago metropolitan area and the subsequent effects on the Illinois River watershed. A pilot GIS model developed to evaluate the transport and fate of Cl - within Illinois indicated that data are spatially and temporally too variable to accurately assess the problem. Our data suggest a balance between spatial resolution and temporal resolution exists. While our sampling points were closer together, the 2-week time period was to coarse to model accurately the pulse of Cl- moving through the system. A finer temporal resolution is needed to develop more adequate GIS and flow models.
Increases in road salts use, leading to increases in stream/groundwater chloride concentrations, are fueling the need for useful tools to study chloride fate and transport. Linear regression modeling has been used many times to predict the movement of a contaminant and is used here to predict chloride concentrations downstream. Land cover, representing impervious surfaces, drainage area, and discharge are all controlling factors in chloride concentration downstream, however there must be other factors controlling chloride concentration other than the ones viewed in this study. This study also revealed that there is an impacted area around an urban setting. Chloride concentrations are less diluted upstream due to the chlorides stored and discharging into the upstream sites. More dilution occurs downstream due to the waters discharging into downstream locations are agriculturally derived.</t>
  </si>
  <si>
    <t>First, in relation to measurements of river discharge, the performance of the tripod-mounted LSPIV and the UAS LSPIV was nearly identical in each case where both methods were used. We found that when the tripod is extended high enough to view the entire channel width, the camera oscillates in the wind. The UAS is also not completely steady, but after about 30 seconds (depending on wind speed and height above the water surface), mean velocities are generally unaffected by camera movement. While in certain situations, such as in narrow, tree-lined rivers, in restricted flight zones, or when nocertified UAS operator is present, it may be beneficial to use a tripod-mounted camera, in many situations the UAS is a more flexible option for obtaining mean surface velocity and therefore discharge. The UAS can more easily image wide rivers and the field of view can be adjusted on the fly in response to changing conditions. In addition, LSPIV discharge from both the tripod and UAS compared favorably with thepropeller and ADCP discharge and were often within a few percent of these reference values. Ourresults generally support the typical practice of relating depth-averaged velocity to surface velocity witha simple coefficient in the range of 0.85 – 0.9, but additional research into this is ongoing. Finally, wefound that in some low and high flow conditions, the LSPIV discharge was close to the referencedischarges measured by the research team but significantly (&gt;25 %) different than the USGS gage.Overall, both the tripod and UAS methods resulted in rapid, accurate discharge calculations with respectto reference methods.Second, we found that LSPIV is an important complement to traditional velocity measurementsand can enrich our understanding of flow in complex hydrodynamic environments like confluences. Notonly can LSPIV be used for qualitative flow visualization, useful for comparison among field sites and flow events and with numerical modeling, but quantitative information can be obtained over a largespatial scale. UAS greatly increases the capability to obtain LSPIV over a large area, and mean flowvelocities are relatively easy to obtain. It is generally more difficult to obtain quasi-instantaneous flow“snapshots”, especially as camera height above the water and magnitude of cameramovement/oscillation increases. Under favorable circumstances, however, flow snapshots can beobtained from both tripod mounted and UAS LSPIV.</t>
  </si>
  <si>
    <t>Impact 3 :  Emerging Priorities</t>
  </si>
  <si>
    <t>Saturated buffer zones (SBZs) are considered a possible best management practice to intercept tile drainage water prior to discharge in streams; however, understanding the travel times (distances) that are needed for the SBZ systems to be effective has not been well documented. Results from a tracer test quantified the travel times for waters in SBZ situated in glacial materials. The initial calculations conducted prior to the test suggested a travel time of approximately 70 days. After injection of the tracer, the down-gradient wells reached their peak tracer concentrations in 13–15 days, which was the result of a higher than anticipated hydraulic gradient. Despite the shorter time, the data showed that between 38% and 100% of the nitrate introduced from the tile drainage system was removed along the travel path. Because the observation wells were different distances from the diversion tile, the results showed a linear relationship between distance (time) traveled and nitrate reduction. These data could be used to help develop SBZ systems that would provide the optimal reduction, given the limitations of the land available. Additionally, research was conducted to help the state of Illinois achieve its nutrient reduction targets of 20% by 2020 and 45% by 2040 to combat hypoxia in the Gulf of Mexico caused by the lack of denitrification in treatment wetlands. In 2016 and 2017 in Bureau County, Illinois, sediment organic matter concentrations were highest nearest the inlet and decreased to the wetland outlet, whereas NO3- decreased from the inlet to the outlet at the same locations. The outlet half of the wetland consistently had higher concentrations and more labile organic matter with a higher abundance of known denitrifying bacteria, resulting in higher removal efficiency as captured tile drainage moved through the wetland toward the outlet.</t>
  </si>
  <si>
    <t>Impact 1 : Nutrient Reduction</t>
  </si>
  <si>
    <t>Seasonal trends were identified in the concentration of chloride (Cl-) from deicing agents in a watershed. Results showed elevated concentrations in the winter, whereas periodic spikes during the summer followed precipitation events. The spikes appeared to be associated with Cl- stored within the aquifer system and released in response to infiltration associated with the precipitation events. The continued use of road salts will continue to elevate the concentration of Cl- within the watershed. If the application of Cl- were to cease, the watershed would not fully recover within 50 years, and residual Cl- would remain in the system. A numerical modeling approach provided an initial evaluation, whereas incorporating transient flow revealed that areas around an urban setting were being impacted. More dilution occurred downstream because the waters discharging into downstream locations were agriculturally derived. Further, a comparison of the performance of a tripod-mounted large-scale particle image velocimeter (LSPIV) and an unmanned aerial system (UAS) LSPIV in relation to measurements of river discharge showed that results from the two methods were nearly identical. When the tripod was extended high enough to view the entire channel width, the camera would oscillate in the wind. Although the UAS was also not completely steady, after approximately 30, mean velocities were generally unaffected by camera movement. Even so, in many situations, the UAS was a more flexible option for obtaining the mean surface velocity and therefore the discharge. The UAS greatly increased the capability of obtaining LSPIV measurements over a large area, and mean flow velocities were relatively easy to obtain. Finally, the potential of floating gardens to improve the water quality of an urban stream, the Chicago River, was investigated. Results showed that concentrations of nitrate as nitrogen in water were lower after flowing past the floating garden.</t>
  </si>
  <si>
    <t>The production of biofuels from contaminated soil and groundwater at the Crab Orchard National Wildlife Refuge, Illinois, was investigated. Grade A biosolids as a soil amendment provide nutrients to sunflowers (Helianthus annuus L.), were found to be better than low-nitrogen fertilizer in terms of plant growth, low concentrations of hexavalent chromium [Cr(VI)] were remediated, and biodiesel could be obtained from the seeds, making it a potential source of renewable fuel. Further, at the Energy Farm of the University of Illinois at Urbana-Champaign in a 97.5-meter-deep borehole, a thermal response test (TRT) and a distributed thermal response test (DTRT) were employed to analyze the homogeneous/heterogenous thermal properties, separately. The DTRT couples TRT with fiber-optic distributed temperature sensing (FO-DTS), allowing for analysis of the thermal properties along the subsurface layer by layer. Model simulations indicate the DTRT would improve the spatial resolution of thermal property prediction over the TRT, assuming the subsurface is a homogeneous solid. Application of this work to evaluate the working efficacy balance of the ground source heat pump is ongoing. Additionally, FO-DTS, installed vertically, was attached to PVC pipe in two adjacent boreholes (cased or sealed against the sidewall with bentonite grout). Thermal profiles were measured over a 2-year period (2015 – 2017). Heat transfer in the subsurface under both saturated and unsaturated conditions was numerically evaluated. This research shows how heterogeneities in the thermo-geology and well construction materials impact the natural geothermal gradient in the shallow subsurface. Finally, growth conditions of water-impermeable biological barriers using fungal mycelia were assessed in the presence of fly ash (known to inhibit fungal growth). Results showed that the fungi still produced massive mycelia and that when applied, they could effectively prevent water infiltration into the fly ash impoundment offering an innovative, sustainable, and cost-effective route to design and manage legacy sites.</t>
  </si>
  <si>
    <t>2016IL311B; 2017IL330B; 2017IL331B; 2018IL340B; 2018IL338B; 2020IL216B; 2020IL218B</t>
  </si>
  <si>
    <t>2015IL298G; 2016IL313B; 2016IL314B; 2017IL332B; 2017IL333B; 2018IL340B; 2019IL092B; 2020IL103AIS</t>
  </si>
  <si>
    <t>2017IL329B; 2017IL337S; 2018IL341B; 2018IL342B-TRTDTRT; 2018IL342B-Rantoul; 2019IL090B; 2019IL091B; 2020IL214B; 2020IL217B</t>
  </si>
  <si>
    <t>The Illinois Water Resources Center (IWRC) has a transdisciplinary advisory board that helps guide IWRC's strategic plan and informs statewide research needs.</t>
  </si>
  <si>
    <t>During the reporting period, the Director of IWRC transferred. Since the reporting period here, IWRC has worked to develop additional metrics and strategies to increase impact around the state.</t>
  </si>
  <si>
    <t>IWRC was in transition following the reporting period and has since increased the scope of the information transfer priorities.</t>
  </si>
  <si>
    <t>IWRC has transitioned to a research institute from extension during the reporting period. This will allow more flexibility in obtaining additional, external funding. Negotiations with the univerisity have been fruitful as well, providing additional support to IWRC through 2026 after which, university support will cease.</t>
  </si>
  <si>
    <t>Small shuttle box -  a two chambered tank, connected by a narrow opening; fish can swim freely between the two chambers, but very little mixing occurs between the two chambers</t>
  </si>
  <si>
    <t>2015IL296B</t>
  </si>
  <si>
    <t>https://doi.org/10.1016/j.jhydrol.2018.03.008</t>
  </si>
  <si>
    <t xml:space="preserve">https://doi.org/10.1029/2018WR022550 </t>
  </si>
  <si>
    <t>Modeling the integration of green infrastructure into urban landscapes using a reliability-based framework</t>
  </si>
  <si>
    <t>Chabela, L. P., &amp; Peterson, E. W. (2019). Relationship between Peak Stage, Storm Duration, and Bank Storage along a Meandering Stream. Water, 11(8).</t>
  </si>
  <si>
    <t xml:space="preserve">Wu, D., Li, R. P., Zhang, F. Y., &amp; Liu, J. (2019). A review on drone-based harmful algae blooms monitoring. ENVIRONMENTAL MONITORING AND ASSESSMENT, 191(4), Article 211. </t>
  </si>
  <si>
    <t xml:space="preserve">Izadmehr, M., &amp; Rockne, K. (2018). “Pocket Wetlands” for Nutrient Removal in Tile-Drained Agriculture. </t>
  </si>
  <si>
    <t xml:space="preserve">Barker, Z. A., &amp; Stillwell, A. S. (2016). Implications of Transitioning from De Facto to Engineered Water Reuse for Power Plant Cooling. ENVIRONMENTAL SCIENCE &amp; TECHNOLOGY, 50(10), 5379-5388. </t>
  </si>
  <si>
    <t xml:space="preserve">https://doi.org/10.1021/acs.est.5b05753 </t>
  </si>
  <si>
    <t>Lewis, Q. W., Lindroth, E. M., &amp; Rhoads, B. L. (2018). Integrating unmanned aerial systems and LSPIV for rapid, cost-effective stream gauging. JOURNAL OF HYDROLOGY, 560, 230-246.</t>
  </si>
  <si>
    <t>Lewis, Q. W., &amp; Rhoads, B. L. (2018a). LSPIV Measurements of Two-Dimensional Flow Structure in Streams Using Small Unmanned Aerial Systems: 1. Accuracy Assessment Based on Comparison With Stationary Camera Platforms and In-Stream Velocity Measurements. WATER RESOURCES RESEARCH, 54(10), 8000-8018.</t>
  </si>
  <si>
    <t>Berkelhammer, M., Alsip, B., Matamala, R., Cook, D., Whelan, M. E., Joo, E., Bernacchi, C., Miller, J., &amp; Meyers, T. (2020). Seasonal Evolution of Canopy Stomatal Conductance for a Prairie and Maize Field in the Midwestern United States from Continuous Carbonyl Sulfide Fluxes. Geophysical Research Letters, 47(6).</t>
  </si>
  <si>
    <t xml:space="preserve">https://doi.org/10.1029/2019gl085652 </t>
  </si>
  <si>
    <t xml:space="preserve">Candeago, R., Kim, K., Vapnik, H., Cotty, S., Aubin, M., Berensmeier, S., Kushima, A., &amp; Su, X. (2020). Semiconducting Polymer Interfaces for Electrochemically Assisted Mercury Remediation. ACS APPLIED MATERIALS &amp; INTERFACES, 12(44), 49713-49722. </t>
  </si>
  <si>
    <t>https://doi.org/10.1021/acsami.0c15570</t>
  </si>
  <si>
    <t>2015IL293B</t>
  </si>
  <si>
    <t>Favata, C. A., Maia, A., Pant, M., Nepal, V., &amp; Colombo, R. E. (2018). Fish assemblage change following the structural restoration of a degraded stream. RIVER RESEARCH AND APPLICATIONS, 34(8), 927-936.</t>
  </si>
  <si>
    <t xml:space="preserve">https://doi.org/10.1002/rra.3336 </t>
  </si>
  <si>
    <t>Gonzalez, L. M. H., Rivera, V. A., Phillips, C. B., Haug, L. A., Hatch, S. L., Yeager, L. E., Chang, H. B., Alvarez, J., Gnaedinger, K. J., Miller, W. M., &amp; Packman, A. I. (2019). Characterization of soil profiles and elemental concentrations reveals deposition of heavy metals and phosphorus in a Chicago-area nature preserve, Gensburg Markham Prairie. JOURNAL OF SOILS AND SEDIMENTS, 19(11), 3817-3831.</t>
  </si>
  <si>
    <t xml:space="preserve"> https://doi.org/10.1007/s11368-019-02315-5</t>
  </si>
  <si>
    <t>Griffin, J. S., Haug, L. A., Rivera, V. A., Gonzalez, L. M. H., Kelly, J. J., Miller, W. M., Wells, G. F., &amp; Packman, A. I. (2020). Soil hydrology drives ecological niche differentiation in a native prairie microbiome. FEMS MICROBIOLOGY ECOLOGY, 96(1), Article fiz163.</t>
  </si>
  <si>
    <t xml:space="preserve">https://doi.org/10.1093/femsec/fiz163 </t>
  </si>
  <si>
    <t>Hernandez Gonzalez, L. M., Rivera, V. A., Phillips, C. B., Haug, L. A., Hatch, S. L., Yeager, L. E., Chang, H., Alvarez, J., Gnaedinger, K. J., Miller, W. M., &amp; Packman, A. I. (2019). Characterization of soil profiles and elemental concentrations reveals deposition of heavy metals and phosphorus in a Chicago-area nature preserve, Gensburg Markham Prairie. JOURNAL OF SOILS AND SEDIMENTS, 19(11), 3817-3831.</t>
  </si>
  <si>
    <t xml:space="preserve">https://doi.org/10.1007/s11368-019-02315-5 </t>
  </si>
  <si>
    <t xml:space="preserve">Kim, K., Medina, P. B., Elbert, J., Kayiwa, E., Cusick, R. D., Men, Y. J., &amp; Su, X. (2020). Molecular Tuning of Redox-Copolymers for Selective Electrochemical Remediation. ADVANCED FUNCTIONAL MATERIALS, 30(52), Article 2004635. </t>
  </si>
  <si>
    <t xml:space="preserve">https://doi.org/10.1002/adfm.202004635 </t>
  </si>
  <si>
    <t xml:space="preserve">Kimm, H., Guan, K. Y., Gentine, P., Wu, J., Bernacchi, C. J., Sulman, B. N., Griffis, T. J., &amp; Lin, C. J. (2020). Redefining droughts for the US Corn Belt: The dominant role of atmospheric vapor pressure deficit over soil moisture in regulating stomatal behavior of Maize and Soybean. AGRICULTURAL AND FOREST METEOROLOGY, 287, Article 107930. </t>
  </si>
  <si>
    <t xml:space="preserve">https://doi.org/10.1016/j.agrformet.2020.107930 </t>
  </si>
  <si>
    <t>Lewis, Q., Rhoads, B., Sukhodolov, A., &amp; Constantinescu, G. (2020). Advective Lateral Transport of Streamwise Momentum Governs Mixing at Small River Confluences. WATER RESOURCES RESEARCH, 56(9), Article e2019WR026817.</t>
  </si>
  <si>
    <t xml:space="preserve">https://doi.org/10.1029/2019WR026817 </t>
  </si>
  <si>
    <t xml:space="preserve">Lewis, Q. W., &amp; Rhoads, B. L. (2018b). LSPIV Measurements of Two-Dimensional Flow Structure in Streams Using Small Unmanned Aerial Systems: 2. Hydrodynamic Mapping at River Confluences. WATER RESOURCES RESEARCH, 54(10), 7981-7999. </t>
  </si>
  <si>
    <t xml:space="preserve">https://doi.org/10.1029/2018WR022551 </t>
  </si>
  <si>
    <t xml:space="preserve">Pant, M., Nepal, V., West, J. L., &amp; Colombo, R. E. (2019). Seasonal differences in diversity of macroinvertebrate and fish taxa in a Midwestern stream. RIVER RESEARCH AND APPLICATIONS, 35(6), 692-701. </t>
  </si>
  <si>
    <t xml:space="preserve">https://doi.org/10.1002/rra.3441 </t>
  </si>
  <si>
    <t>2015IL295B</t>
  </si>
  <si>
    <t xml:space="preserve">Smith, S. C. F., Colombo, R. E., Thomas, T., &amp; Keeney, D. B. (2019). Dissimilar effects of low-head dams on the genetic structure of riverine fishes. FRESHWATER SCIENCE, 38(1), 92-102. </t>
  </si>
  <si>
    <t>https://doi.org/10.1086/701598</t>
  </si>
  <si>
    <t>2014IA252B</t>
  </si>
  <si>
    <t>Vanloocke, A., Twine, T. E., Kucharik, C. J., &amp; Bernacchi, C. J. (2017). Assessing the potential to decrease the Gulf of Mexico hypoxic zone with Midwest US perennial cellulosic feedstock production. GLOBAL CHANGE BIOLOGY BIOENERGY, 9(5), 858-875.</t>
  </si>
  <si>
    <t xml:space="preserve">https://doi.org/10.1111/gcbb.12385 </t>
  </si>
  <si>
    <t>2011IL222B</t>
  </si>
  <si>
    <t xml:space="preserve">Waterman, D. M., &amp; Garcia, M. H. (2019). Nonlinear Bedload Transport Trajectory Angle Expressed in a Traditional Form: Derivation and Application. JOURNAL OF HYDRAULIC ENGINEERING, 145(8), Article 04019028. </t>
  </si>
  <si>
    <t>https://doi.org/10.1061/(ASCE)HY.1943-7900.0001619</t>
  </si>
  <si>
    <t>William, R., Gardoni, P., &amp; Stillwell, A. S. (2019). Reliability-Based Approach to Investigating Long-Term Clogging in Green Stormwater Infrastructure. JOURNAL OF SUSTAINABLE WATER IN THE BUILT ENVIRONMENT, 5(1), Article 04018015.</t>
  </si>
  <si>
    <t>https://doi.org/10.1061/JSWBAY.0000875</t>
  </si>
  <si>
    <t>Conference Proceedings Paper (not abstract)</t>
  </si>
  <si>
    <t>Cohen, D. B. (2018). MICROBIAL COMMUNITY ASSEMBLY AND HYDROLOGIC VARIABILITY AS CONTROLS ON POTENTIAL DENITRIFICATION RATES IN RESTORED FRESHWATER WETLANDS</t>
  </si>
  <si>
    <t>https://hdl.handle.net/2142/101669</t>
  </si>
  <si>
    <t>Lewis, Q. (2018). Measuring flow and mixing at stream confluences using large-scale particle image velocimetry, in-stream techniques, and small unmanned aerial systems</t>
  </si>
  <si>
    <t>https://hdl.handle.net/2142/101109</t>
  </si>
  <si>
    <t>Tillman, S. C. (2020). WETLAND MITIGATION BANKING IN THE CHICAGO AREA: AN ASSESSMENT OF ECOLOGICAL OUTCOMES AND COMPLIANCE WITH PERFORMANCE STANDARDS</t>
  </si>
  <si>
    <t>https://hdl.handle.net/2142/109459</t>
  </si>
  <si>
    <t xml:space="preserve">William, R. (2019). The role of reliability in characterizing green stormwater infrastructure in urban areas </t>
  </si>
  <si>
    <t>https://hdl.handle.net/2142/104806</t>
  </si>
  <si>
    <t>Huff Hartz, K. E., Nutile, S. A., Fung, C. Y., Sinche, F. L., Moran, P. W., Van Metre, P. C., Nowell, L. H., &amp; Lydy, M. J. (2019). Survey of bioaccessible pyrethroid insecticides and sediment toxicity in urban streams of the northeast United States. Environmental Pollution, 254, 112931.</t>
  </si>
  <si>
    <t>https://doi.org/https://doi.org/10.1016/j.envpol.2019.07.099</t>
  </si>
  <si>
    <t xml:space="preserve">Huff Hartz, K. E., Sinche, F. L., Nutile, S. A., Fung, C. Y., Moran, P. W., Van Metre, P. C., Nowell, L. H., Mills, M., &amp; Lydy, M. J. (2018). Effect of sample holding time on bioaccessibility and sediment ecotoxicological assessments. Environmental Pollution, 242, 2078-2087. </t>
  </si>
  <si>
    <t xml:space="preserve">https://doi.org/https://doi.org/10.1016/j.envpol.2018.06.065 </t>
  </si>
  <si>
    <t xml:space="preserve">https://doi.org/10.1007/s10661-019-7365-8 </t>
  </si>
  <si>
    <t>.</t>
  </si>
  <si>
    <t>Peimer, A. W. (2016). Banking on offsets: a political ecological and eco-geomorphic analysis of Section 404 compensatory stream mitigation banking in Illinois and Missouri</t>
  </si>
  <si>
    <t>http://hdl.handle.net.proxy2.library.illinois.edu/2142/93034 </t>
  </si>
  <si>
    <t>Ashlynn S. Stillwell</t>
  </si>
  <si>
    <t>Groundwater and Geothermal Resources Seminar Series</t>
  </si>
  <si>
    <t>Free and open to the public</t>
  </si>
  <si>
    <t>2018IL342B</t>
  </si>
  <si>
    <t>facebook</t>
  </si>
  <si>
    <t>IWRC hosted a tour of their Center as well as the UIUC ACES Energy Farm for a group of educators from Taiwan as part of an academic enrichment program that specializes in preparing students in Asia for studies in the US.</t>
  </si>
  <si>
    <t>Grant</t>
  </si>
  <si>
    <t>2019 Emerging Contaminants in the Environment Conference Sponsor</t>
  </si>
  <si>
    <t>Illinois Center for Urban Resilience and Environmental Sustainability Planning Workshop Sponsor</t>
  </si>
  <si>
    <t>Yu-Feng Lin, IWRC Director visited Southern Illinois University, Carbondale to promote IWRC’s mission and to visit IWRC funded PIs.</t>
  </si>
  <si>
    <t>Omoloa Badmus</t>
  </si>
  <si>
    <t>Provided support for attendance at the ArcSWAT Workshop held at Auburn University, Alabama for a master’s student researching Impacts of Climate Change on Streamflow and Water Quality in the Cahokia Creek Watershed, Madison
County, Illinois</t>
  </si>
  <si>
    <t>The Morris Doctoral Fellowship was established by Southern Illinois University to honor a distinguished former president (1949-1971) and his wife. This fellowship is for students new to Southern Illinois University who possess exceptional academic credentials and evidence of significant potential for research and publication.</t>
  </si>
  <si>
    <t xml:space="preserve"> The Morris Doctoral Fellowship is a five-year financial support package. The Graduate School provides a 12 month 50% research fellowship award for the first three years and the department provides a 12 month 50% graduate assistantship for the last two years.</t>
  </si>
  <si>
    <t>The University-Level Scholar Excellence Award is an exceptional one, given only to those who have made outstanding contributions to their discipline and have thus become widely recognized for their achievements by other scholars in the field. </t>
  </si>
  <si>
    <t>The permanent title of Distinguished Scholar, a framed certificate, and a $1,000 monetary award are to be granted to the recipient of the University-Level Scholar Excellence Award.  He/She will also receive recognition at the annual awards reception and May commencement ceremony. </t>
  </si>
  <si>
    <t>The UCOWR Early Career Award for Applied Research recognizes outstanding early contributions in applied research related to water.</t>
  </si>
  <si>
    <t>Dissertation awardees will receive a $750 cash award, reimbursement up to $1,000 for travel expenses to the annual UCOWR conference and a waived conference registration fee.  Recipients will be asked to present their research during one of the concurrent sessions.  This is a total award package of up to $2,300. </t>
  </si>
  <si>
    <t>Each year, UCOWR recognizes two outstanding Ph.D. dissertations on water issues, one in each of the following categories: (1) Water Policy and SocioEconomics, and (2) Natural Science and Engineering.</t>
  </si>
  <si>
    <t>The REACH (Research-Enriched Academic Challenge) award offers the opportunity for SIU Carbondale undergraduate students to work with a faculty member on independent creative activities or research.  </t>
  </si>
  <si>
    <t>A fellowship covers full tuition (nine hours maximum in summer) and provides a monthly stipend.</t>
  </si>
  <si>
    <t>A DRA award covers full tuition (nine hours maximum in summer) and provides a monthly stipend.</t>
  </si>
  <si>
    <t>Dissertation Research Assistantships are academic awards designed for students who are in the dissertation preparation stage of their graduate education.</t>
  </si>
  <si>
    <t>SETAC/EA EngineeringJeff Black Award for top master’s student for the society</t>
  </si>
  <si>
    <t>Rutgers/Society of Environmental Toxicology and Chemistry</t>
  </si>
  <si>
    <t>University of Illinois School of Integrative Biology</t>
  </si>
  <si>
    <t>William H. Luckman Award for Research in Applied Entomology</t>
  </si>
  <si>
    <t xml:space="preserve">Dissertation Completion Fellowship </t>
  </si>
  <si>
    <t>Planting for Pollinators video series</t>
  </si>
  <si>
    <t>Nutrient Loss Reduction Strategy</t>
  </si>
  <si>
    <t>Illinois State Fair</t>
  </si>
  <si>
    <t>University of Illinois College of Agricultural, Consumer, and Environmental Science</t>
  </si>
  <si>
    <t>Team Award for Excellence</t>
  </si>
  <si>
    <t>Illinois Water Resources Center Staff</t>
  </si>
  <si>
    <t>The Team Award for Excellence recognizes faculty members and staff who, working together as a team, have made a significant contribution in teaching, research, or extension.</t>
  </si>
  <si>
    <t>Private Well Class multimedia content</t>
  </si>
  <si>
    <t>A flagship national 10-week educational email course for private well owners. Content provided includes the Private Well Podcast, well care videos, live webinars once a month with Q &amp; A that feature a variety of topics, social media via Facebook and Twitter, and other resources.</t>
  </si>
  <si>
    <t xml:space="preserve"> 4-hour Environmental Health Professional Workshop trainings for Continuing Education Credits in Oregon, Virginia, Massachusetts, Connecticut, Illinois, Tennessee, and online</t>
  </si>
  <si>
    <t xml:space="preserve"> 4-hour Environmental Health Professional Workshop trainings for Continuing Education Credits </t>
  </si>
  <si>
    <t>Tribal Lands and Environment Forum in Connecticut</t>
  </si>
  <si>
    <t>WaterOperator.org</t>
  </si>
  <si>
    <t>web page</t>
  </si>
  <si>
    <t>The Illinois State Water Survey, in collaboration with the Illinois Water Resources Center and Rural Community Assistance Partnership and with funding from the U.S. Environmental Protection Agency, manages two national community outreach programs focused on providing theinformation and tools needed to protect drinking and source water quality in rural areas. The web-based Private Well Class offers groundwater science education and technical assistance for well owners, realtors, and others interested in well care best practices. WaterOperator.org is a mobile-friendly web portal with free, comprehensive resources tailored for small community and tribal water and wastewater operators.</t>
  </si>
  <si>
    <t>Resource Managers</t>
  </si>
  <si>
    <t>Stormwater/Green Infrastructure activities including a speaking engagement at Common Place Peoria</t>
  </si>
  <si>
    <t>audience included key community decision makers and youth</t>
  </si>
  <si>
    <t>Stormwater/Green Infrastructure activities including a speaking engagement at 4G STEM Camp</t>
  </si>
  <si>
    <t>Stormwater/Green Infrastructure activities including a speaking engagement at Greater Egypt Regional Planning Commission Stormwater Training</t>
  </si>
  <si>
    <t>Stormwater/Green Infrastructure activities including a speaking engagement at Illinois State Fair</t>
  </si>
  <si>
    <t>Stormwater/Green Infrastructure activities including a speaking engagement at CU Sunshine Rotary</t>
  </si>
  <si>
    <t>Stormwater/Green Infrastructure activities including a speaking engagement at Master Naturalist Urban Systems Training</t>
  </si>
  <si>
    <t>iwrc.illinois.edu</t>
  </si>
  <si>
    <t>geothermal.illinois.edu</t>
  </si>
  <si>
    <t>Drone-based Water Quality Monitoring for Harmful Algal Blooms</t>
  </si>
  <si>
    <t>Southern Illinois Volunteer Lake Monitoring Program</t>
  </si>
  <si>
    <t>Ruopu Li</t>
  </si>
  <si>
    <t>Karl J. Rockne</t>
  </si>
  <si>
    <t>Pocket Wetlands for Nutrient Removal in Tile-Drained Agriculture</t>
  </si>
  <si>
    <t>Paper awarded first place in the graduate student paper competition</t>
  </si>
  <si>
    <t>Nutrient Removal Efficiency in An Engineered Wetland</t>
  </si>
  <si>
    <t>Christopher B. and Susan S.Burke Civil Engineering Graduate Poster Competition</t>
  </si>
  <si>
    <t>Poster awarded 3rd place in the competition</t>
  </si>
  <si>
    <t>Treatment Wetlands for Meeting the Illinois Nutrient Reduction Strategy Goals</t>
  </si>
  <si>
    <t>Illinois Nutrient Research and Education Council, Northern Illinois Public Forum</t>
  </si>
  <si>
    <t>US Army Corps of Engineers Chicago District Society of American Military
Engineers (SAME)</t>
  </si>
  <si>
    <t>Toshiki Iwasaki</t>
  </si>
  <si>
    <t>Geomorphology and Sediment Transport Laboratory, Golden, Colorado</t>
  </si>
  <si>
    <t>Project report first author</t>
  </si>
  <si>
    <t>Jonathan Nelson</t>
  </si>
  <si>
    <t>Project report co-author</t>
  </si>
  <si>
    <t>Patrick W. Moran</t>
  </si>
  <si>
    <t>Washington Water Science Center, Tacoma, Washington</t>
  </si>
  <si>
    <t>Peter C. Van Metre</t>
  </si>
  <si>
    <t>Texas Water Science Center, Austin, Texas</t>
  </si>
  <si>
    <t>Lisa H. Nowell</t>
  </si>
  <si>
    <t>California Water Science Center, Sacramento, California</t>
  </si>
  <si>
    <t>Co-author on "Effect of sample holding time on bioaccessibility and sediment ecotoxicological assessments"</t>
  </si>
  <si>
    <t>Co-author on "Survey of bioaccessible pyrethroid insecticides and sediment toxicity in urban streams of the northeast United States"</t>
  </si>
  <si>
    <t>Frank L. Engel</t>
  </si>
  <si>
    <t>Illinois Water Science Center</t>
  </si>
  <si>
    <t>Collaborator on 104B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</si>
</sst>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5" formatCode="&quot;$&quot;#,##0"/>
    <numFmt numFmtId="172" formatCode="[$-409]mmm\-yy;@"/>
  </numFmts>
  <fonts count="70" x14ac:knownFonts="1">
    <font>
      <sz val="11"/>
      <color theme="1"/>
      <name val="Calibri"/>
      <family val="2"/>
      <scheme val="minor"/>
    </font>
    <font>
      <b/>
      <sz val="11"/>
      <color theme="1"/>
      <name val="Calibri"/>
      <family val="2"/>
      <scheme val="minor"/>
    </font>
    <font>
      <b/>
      <sz val="12"/>
      <color theme="1"/>
      <name val="Calibri"/>
      <family val="2"/>
      <scheme val="minor"/>
    </font>
    <font>
      <b/>
      <sz val="11"/>
      <color theme="1"/>
      <name val="Arial Black"/>
      <family val="2"/>
    </font>
    <font>
      <b/>
      <i/>
      <sz val="12"/>
      <color theme="1"/>
      <name val="Calibri"/>
      <family val="2"/>
      <scheme val="minor"/>
    </font>
    <font>
      <sz val="11"/>
      <color theme="4"/>
      <name val="Calibri"/>
      <family val="2"/>
      <scheme val="minor"/>
    </font>
    <font>
      <sz val="11"/>
      <color rgb="FFFF0000"/>
      <name val="Calibri"/>
      <family val="2"/>
      <scheme val="minor"/>
    </font>
    <font>
      <sz val="11"/>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sz val="11"/>
      <color rgb="FF0070C0"/>
      <name val="Calibri"/>
      <family val="2"/>
      <scheme val="minor"/>
    </font>
    <font>
      <b/>
      <i/>
      <sz val="10"/>
      <color theme="1"/>
      <name val="Calibri"/>
      <family val="2"/>
      <scheme val="minor"/>
    </font>
    <font>
      <sz val="12"/>
      <color rgb="FF000000"/>
      <name val="Calibri"/>
      <family val="2"/>
      <scheme val="minor"/>
    </font>
    <font>
      <sz val="11"/>
      <color indexed="81"/>
      <name val="Tahoma"/>
      <family val="2"/>
    </font>
    <font>
      <b/>
      <sz val="11"/>
      <color indexed="81"/>
      <name val="Tahoma"/>
      <family val="2"/>
    </font>
    <font>
      <b/>
      <sz val="12"/>
      <color rgb="FF000000"/>
      <name val="Calibri"/>
      <family val="2"/>
    </font>
    <font>
      <b/>
      <sz val="10"/>
      <color rgb="FF000000"/>
      <name val="Calibri"/>
      <family val="2"/>
    </font>
    <font>
      <sz val="8"/>
      <name val="Calibri"/>
      <family val="2"/>
      <scheme val="minor"/>
    </font>
    <font>
      <u/>
      <sz val="11"/>
      <color theme="10"/>
      <name val="Calibri"/>
      <family val="2"/>
      <scheme val="minor"/>
    </font>
    <font>
      <u/>
      <sz val="11"/>
      <color theme="4"/>
      <name val="Calibri"/>
      <family val="2"/>
      <scheme val="minor"/>
    </font>
    <font>
      <sz val="11"/>
      <color rgb="FF4472C4"/>
      <name val="Calibri"/>
      <family val="2"/>
    </font>
    <font>
      <b/>
      <sz val="14"/>
      <color theme="1"/>
      <name val="Calibri"/>
      <family val="2"/>
    </font>
    <font>
      <sz val="11"/>
      <color theme="1"/>
      <name val="Calibri"/>
      <family val="2"/>
    </font>
    <font>
      <b/>
      <sz val="14"/>
      <color rgb="FF000000"/>
      <name val="Calibri"/>
      <family val="2"/>
    </font>
    <font>
      <b/>
      <sz val="12"/>
      <name val="Calibri"/>
      <family val="2"/>
    </font>
    <font>
      <sz val="11"/>
      <color rgb="FF0070C0"/>
      <name val="Calibri"/>
      <family val="2"/>
    </font>
    <font>
      <sz val="10.5"/>
      <color theme="1"/>
      <name val="Segoe UI"/>
      <family val="2"/>
    </font>
    <font>
      <b/>
      <sz val="10.5"/>
      <color theme="1"/>
      <name val="Segoe UI"/>
      <family val="2"/>
    </font>
    <font>
      <b/>
      <sz val="10"/>
      <color theme="1"/>
      <name val="Courier New"/>
      <family val="3"/>
    </font>
    <font>
      <b/>
      <i/>
      <sz val="12"/>
      <color rgb="FF000000"/>
      <name val="Calibri"/>
      <family val="2"/>
    </font>
    <font>
      <sz val="11"/>
      <color theme="4"/>
      <name val="Calibri"/>
      <family val="2"/>
    </font>
    <font>
      <b/>
      <i/>
      <sz val="12"/>
      <name val="Calibri"/>
      <family val="2"/>
      <scheme val="minor"/>
    </font>
    <font>
      <b/>
      <sz val="12"/>
      <name val="Calibri"/>
      <family val="2"/>
      <scheme val="minor"/>
    </font>
    <font>
      <sz val="11"/>
      <name val="Calibri"/>
      <family val="2"/>
      <scheme val="minor"/>
    </font>
    <font>
      <b/>
      <sz val="10.5"/>
      <name val="Segoe UI"/>
      <family val="2"/>
    </font>
    <font>
      <b/>
      <sz val="11"/>
      <name val="Calibri"/>
      <family val="2"/>
      <scheme val="minor"/>
    </font>
    <font>
      <b/>
      <i/>
      <sz val="11"/>
      <name val="Calibri"/>
      <family val="2"/>
      <scheme val="minor"/>
    </font>
    <font>
      <b/>
      <sz val="11"/>
      <name val="Arial Black"/>
      <family val="2"/>
    </font>
    <font>
      <b/>
      <sz val="10"/>
      <name val="Arial Black"/>
      <family val="2"/>
    </font>
    <font>
      <sz val="12"/>
      <name val="Calibri"/>
      <family val="2"/>
      <scheme val="minor"/>
    </font>
    <font>
      <b/>
      <sz val="10"/>
      <name val="Calibri"/>
      <family val="2"/>
      <scheme val="minor"/>
    </font>
    <font>
      <b/>
      <sz val="10.5"/>
      <color rgb="FF000000"/>
      <name val="Segoe UI"/>
      <family val="2"/>
    </font>
    <font>
      <sz val="16"/>
      <color theme="1"/>
      <name val="Calibri"/>
      <family val="2"/>
      <scheme val="minor"/>
    </font>
    <font>
      <sz val="14"/>
      <color rgb="FF000000"/>
      <name val="Calibri"/>
      <family val="2"/>
    </font>
    <font>
      <sz val="14"/>
      <color rgb="FFC00000"/>
      <name val="Calibri"/>
      <family val="2"/>
    </font>
    <font>
      <sz val="14"/>
      <color theme="1"/>
      <name val="Calibri"/>
      <family val="2"/>
    </font>
    <font>
      <sz val="14"/>
      <color rgb="FF44546A"/>
      <name val="Calibri"/>
      <family val="2"/>
    </font>
    <font>
      <sz val="14"/>
      <color rgb="FF7030A0"/>
      <name val="Calibri"/>
      <family val="2"/>
    </font>
    <font>
      <sz val="14"/>
      <color rgb="FF4472C4"/>
      <name val="Calibri"/>
      <family val="2"/>
    </font>
    <font>
      <sz val="14"/>
      <color rgb="FFED7D31"/>
      <name val="Calibri"/>
      <family val="2"/>
    </font>
    <font>
      <sz val="14"/>
      <color rgb="FFFF0000"/>
      <name val="Calibri"/>
      <family val="2"/>
    </font>
    <font>
      <sz val="14"/>
      <color rgb="FF333333"/>
      <name val="Calibri"/>
      <family val="2"/>
    </font>
    <font>
      <b/>
      <sz val="11"/>
      <color rgb="FF000000"/>
      <name val="Calibri"/>
      <family val="2"/>
    </font>
    <font>
      <sz val="11"/>
      <color rgb="FF000000"/>
      <name val="Calibri"/>
      <family val="2"/>
    </font>
    <font>
      <b/>
      <i/>
      <sz val="14"/>
      <color rgb="FF000000"/>
      <name val="Calibri"/>
      <family val="2"/>
    </font>
    <font>
      <b/>
      <i/>
      <sz val="14"/>
      <color rgb="FF7030A0"/>
      <name val="Calibri"/>
      <family val="2"/>
    </font>
    <font>
      <sz val="11"/>
      <color rgb="FF444444"/>
      <name val="Calibri"/>
      <family val="2"/>
    </font>
    <font>
      <b/>
      <i/>
      <sz val="14"/>
      <name val="Calibri"/>
      <family val="2"/>
    </font>
    <font>
      <b/>
      <i/>
      <sz val="10"/>
      <color rgb="FF000000"/>
      <name val="Calibri"/>
      <family val="2"/>
    </font>
    <font>
      <b/>
      <sz val="11"/>
      <color rgb="FF000000"/>
      <name val="Calibri"/>
      <family val="2"/>
      <scheme val="minor"/>
    </font>
    <font>
      <sz val="11"/>
      <color rgb="FF000000"/>
      <name val="Calibri"/>
      <family val="2"/>
      <scheme val="minor"/>
    </font>
    <font>
      <sz val="12"/>
      <color rgb="FF000000"/>
      <name val="Calibri"/>
      <family val="2"/>
    </font>
    <font>
      <b/>
      <sz val="12"/>
      <color rgb="FF000000"/>
      <name val="Calibri"/>
      <family val="2"/>
      <scheme val="minor"/>
    </font>
    <font>
      <b/>
      <i/>
      <sz val="12"/>
      <color rgb="FF000000"/>
      <name val="Calibri"/>
      <family val="2"/>
      <scheme val="minor"/>
    </font>
    <font>
      <b/>
      <sz val="10"/>
      <color rgb="FF000000"/>
      <name val="Calibri"/>
      <family val="2"/>
      <scheme val="minor"/>
    </font>
    <font>
      <b/>
      <i/>
      <sz val="11"/>
      <color rgb="FF000000"/>
      <name val="Calibri"/>
      <family val="2"/>
      <scheme val="minor"/>
    </font>
    <font>
      <b/>
      <i/>
      <sz val="10"/>
      <color rgb="FF000000"/>
      <name val="Calibri"/>
      <family val="2"/>
      <scheme val="minor"/>
    </font>
    <font>
      <b/>
      <sz val="11"/>
      <color rgb="FFFF0000"/>
      <name val="Calibri"/>
      <family val="2"/>
      <scheme val="minor"/>
    </font>
    <font>
      <i/>
      <sz val="11"/>
      <color rgb="FF000000"/>
      <name val="Calibri"/>
      <family val="2"/>
      <scheme val="minor"/>
    </font>
  </fonts>
  <fills count="27">
    <fill>
      <patternFill patternType="none"/>
    </fill>
    <fill>
      <patternFill patternType="gray125"/>
    </fill>
    <fill>
      <patternFill patternType="solid">
        <fgColor theme="9" tint="0.79998168889431442"/>
        <bgColor indexed="64"/>
      </patternFill>
    </fill>
    <fill>
      <patternFill patternType="solid">
        <fgColor rgb="FFFFC9C9"/>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E8D1FF"/>
        <bgColor indexed="64"/>
      </patternFill>
    </fill>
    <fill>
      <patternFill patternType="solid">
        <fgColor rgb="FFF3F0FE"/>
        <bgColor indexed="64"/>
      </patternFill>
    </fill>
    <fill>
      <patternFill patternType="solid">
        <fgColor theme="9"/>
        <bgColor indexed="64"/>
      </patternFill>
    </fill>
    <fill>
      <patternFill patternType="solid">
        <fgColor rgb="FFDDEBF7"/>
        <bgColor indexed="64"/>
      </patternFill>
    </fill>
    <fill>
      <patternFill patternType="solid">
        <fgColor rgb="FFFFF2CC"/>
        <bgColor indexed="64"/>
      </patternFill>
    </fill>
    <fill>
      <patternFill patternType="solid">
        <fgColor rgb="FFCABDFB"/>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FFC9C9"/>
        <bgColor rgb="FF000000"/>
      </patternFill>
    </fill>
    <fill>
      <patternFill patternType="solid">
        <fgColor rgb="FFFCE4D6"/>
        <bgColor rgb="FF000000"/>
      </patternFill>
    </fill>
    <fill>
      <patternFill patternType="solid">
        <fgColor rgb="FFE2EFDA"/>
        <bgColor rgb="FF000000"/>
      </patternFill>
    </fill>
    <fill>
      <patternFill patternType="solid">
        <fgColor theme="9" tint="0.79998168889431442"/>
        <bgColor rgb="FF000000"/>
      </patternFill>
    </fill>
    <fill>
      <patternFill patternType="solid">
        <fgColor rgb="FFFFC1C1"/>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rgb="FFDDEBF7"/>
        <bgColor rgb="FF000000"/>
      </patternFill>
    </fill>
    <fill>
      <patternFill patternType="solid">
        <fgColor rgb="FFCABDFB"/>
        <bgColor rgb="FF000000"/>
      </patternFill>
    </fill>
    <fill>
      <patternFill patternType="solid">
        <fgColor rgb="FFE8D1FF"/>
        <bgColor rgb="FF000000"/>
      </patternFill>
    </fill>
    <fill>
      <patternFill patternType="solid">
        <fgColor theme="9" tint="0.59999389629810485"/>
        <bgColor indexed="64"/>
      </patternFill>
    </fill>
    <fill>
      <patternFill patternType="solid">
        <fgColor theme="0" tint="-0.149998474074526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style="thin">
        <color indexed="64"/>
      </right>
      <top style="medium">
        <color rgb="FF000000"/>
      </top>
      <bottom style="medium">
        <color rgb="FF000000"/>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medium">
        <color indexed="64"/>
      </top>
      <bottom style="medium">
        <color indexed="64"/>
      </bottom>
      <diagonal/>
    </border>
    <border>
      <left/>
      <right style="thin">
        <color rgb="FF000000"/>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rgb="FF000000"/>
      </left>
      <right style="thin">
        <color indexed="64"/>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rgb="FF000000"/>
      </top>
      <bottom/>
      <diagonal/>
    </border>
    <border>
      <left/>
      <right/>
      <top/>
      <bottom style="thin">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thin">
        <color indexed="64"/>
      </right>
      <top style="medium">
        <color indexed="64"/>
      </top>
      <bottom/>
      <diagonal/>
    </border>
    <border>
      <left style="thin">
        <color indexed="64"/>
      </left>
      <right/>
      <top style="medium">
        <color indexed="64"/>
      </top>
      <bottom style="medium">
        <color indexed="64"/>
      </bottom>
      <diagonal/>
    </border>
    <border>
      <left style="medium">
        <color indexed="64"/>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3">
    <xf numFmtId="0" fontId="0" fillId="0" borderId="0"/>
    <xf numFmtId="44" fontId="7" fillId="0" borderId="0" applyFont="0" applyFill="0" applyBorder="0" applyAlignment="0" applyProtection="0"/>
    <xf numFmtId="0" fontId="19" fillId="0" borderId="0" applyNumberFormat="0" applyFill="0" applyBorder="0" applyAlignment="0" applyProtection="0"/>
  </cellStyleXfs>
  <cellXfs count="391">
    <xf numFmtId="0" fontId="0" fillId="0" borderId="0" xfId="0"/>
    <xf numFmtId="0" fontId="1" fillId="0" borderId="0" xfId="0" applyFont="1"/>
    <xf numFmtId="0" fontId="0" fillId="2" borderId="1" xfId="0" applyFill="1" applyBorder="1"/>
    <xf numFmtId="0" fontId="0" fillId="0" borderId="1" xfId="0"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2" fillId="4" borderId="10" xfId="0" applyFont="1" applyFill="1" applyBorder="1" applyAlignment="1">
      <alignment horizontal="center" vertical="center"/>
    </xf>
    <xf numFmtId="0" fontId="2" fillId="5" borderId="10" xfId="0" applyFont="1" applyFill="1" applyBorder="1" applyAlignment="1">
      <alignment horizontal="center" vertical="center"/>
    </xf>
    <xf numFmtId="0" fontId="2" fillId="2" borderId="10" xfId="0" applyFont="1" applyFill="1" applyBorder="1" applyAlignment="1">
      <alignment horizontal="center" vertical="center"/>
    </xf>
    <xf numFmtId="0" fontId="2" fillId="3" borderId="1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2" fillId="0" borderId="13" xfId="0" applyFont="1" applyBorder="1" applyAlignment="1">
      <alignment horizontal="center" vertical="center" wrapText="1"/>
    </xf>
    <xf numFmtId="0" fontId="0" fillId="5" borderId="2" xfId="0" applyFill="1" applyBorder="1"/>
    <xf numFmtId="0" fontId="0" fillId="7" borderId="1" xfId="0" applyFill="1" applyBorder="1"/>
    <xf numFmtId="0" fontId="0" fillId="5" borderId="7" xfId="0" applyFill="1" applyBorder="1"/>
    <xf numFmtId="0" fontId="4" fillId="3" borderId="18" xfId="0" applyFont="1" applyFill="1" applyBorder="1" applyAlignment="1">
      <alignment horizontal="center" vertical="center" wrapText="1"/>
    </xf>
    <xf numFmtId="0" fontId="0" fillId="3" borderId="2" xfId="0" applyFill="1" applyBorder="1"/>
    <xf numFmtId="44" fontId="0" fillId="4" borderId="8" xfId="1" applyFont="1" applyFill="1" applyBorder="1"/>
    <xf numFmtId="0" fontId="5" fillId="3" borderId="20" xfId="0" applyFont="1" applyFill="1" applyBorder="1"/>
    <xf numFmtId="0" fontId="5" fillId="3" borderId="9" xfId="0" applyFont="1" applyFill="1" applyBorder="1"/>
    <xf numFmtId="0" fontId="5" fillId="5" borderId="9" xfId="0" applyFont="1" applyFill="1" applyBorder="1"/>
    <xf numFmtId="0" fontId="0" fillId="2" borderId="7" xfId="0" applyFill="1" applyBorder="1"/>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2" fillId="4" borderId="10" xfId="0" applyFont="1" applyFill="1" applyBorder="1" applyAlignment="1">
      <alignment horizontal="center" vertical="center" wrapText="1"/>
    </xf>
    <xf numFmtId="0" fontId="0" fillId="0" borderId="11" xfId="0" applyBorder="1"/>
    <xf numFmtId="0" fontId="0" fillId="0" borderId="13" xfId="0" applyBorder="1"/>
    <xf numFmtId="0" fontId="0" fillId="0" borderId="2" xfId="0" applyBorder="1"/>
    <xf numFmtId="0" fontId="0" fillId="0" borderId="28" xfId="0" applyBorder="1"/>
    <xf numFmtId="0" fontId="3" fillId="0" borderId="11" xfId="0" applyFont="1" applyBorder="1" applyAlignment="1">
      <alignment vertical="center"/>
    </xf>
    <xf numFmtId="49" fontId="5" fillId="3" borderId="20" xfId="0" applyNumberFormat="1" applyFont="1" applyFill="1" applyBorder="1"/>
    <xf numFmtId="49" fontId="0" fillId="3" borderId="6" xfId="0" applyNumberFormat="1" applyFill="1" applyBorder="1"/>
    <xf numFmtId="0" fontId="5" fillId="3" borderId="20" xfId="0" applyFont="1" applyFill="1" applyBorder="1" applyAlignment="1">
      <alignment horizontal="center" vertical="center"/>
    </xf>
    <xf numFmtId="0" fontId="2" fillId="3" borderId="25" xfId="0" applyFont="1" applyFill="1" applyBorder="1" applyAlignment="1">
      <alignment horizontal="center" vertical="center" wrapText="1"/>
    </xf>
    <xf numFmtId="0" fontId="0" fillId="0" borderId="31" xfId="0" applyBorder="1"/>
    <xf numFmtId="0" fontId="2" fillId="3" borderId="18"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0" fillId="5" borderId="19" xfId="0" applyFill="1" applyBorder="1"/>
    <xf numFmtId="0" fontId="3" fillId="4" borderId="33" xfId="0" applyFont="1" applyFill="1" applyBorder="1" applyAlignment="1">
      <alignment horizontal="center" vertical="center"/>
    </xf>
    <xf numFmtId="0" fontId="10" fillId="4" borderId="24" xfId="0" applyFont="1" applyFill="1" applyBorder="1" applyAlignment="1">
      <alignment horizontal="center" vertical="center" textRotation="90"/>
    </xf>
    <xf numFmtId="0" fontId="2" fillId="2" borderId="13" xfId="0" applyFont="1" applyFill="1" applyBorder="1" applyAlignment="1">
      <alignment horizontal="center" vertical="center" wrapText="1"/>
    </xf>
    <xf numFmtId="0" fontId="4" fillId="9" borderId="12" xfId="0" applyFont="1" applyFill="1" applyBorder="1" applyAlignment="1">
      <alignment horizontal="center" vertical="center" wrapText="1"/>
    </xf>
    <xf numFmtId="0" fontId="5" fillId="9" borderId="20" xfId="0" applyFont="1" applyFill="1" applyBorder="1"/>
    <xf numFmtId="0" fontId="0" fillId="9" borderId="6" xfId="0" applyFill="1" applyBorder="1"/>
    <xf numFmtId="0" fontId="0" fillId="9" borderId="19" xfId="0" applyFill="1" applyBorder="1"/>
    <xf numFmtId="0" fontId="0" fillId="5" borderId="1" xfId="0" applyFill="1" applyBorder="1" applyAlignment="1">
      <alignment wrapText="1"/>
    </xf>
    <xf numFmtId="0" fontId="8" fillId="10" borderId="10" xfId="0" applyFont="1" applyFill="1" applyBorder="1" applyAlignment="1">
      <alignment horizontal="center" vertical="center" wrapText="1"/>
    </xf>
    <xf numFmtId="0" fontId="0" fillId="10" borderId="1" xfId="0" applyFill="1" applyBorder="1"/>
    <xf numFmtId="0" fontId="13" fillId="8" borderId="32" xfId="0" applyFont="1" applyFill="1" applyBorder="1" applyAlignment="1">
      <alignment horizontal="center" vertical="center" wrapText="1"/>
    </xf>
    <xf numFmtId="0" fontId="6" fillId="8" borderId="30" xfId="0" applyFont="1" applyFill="1" applyBorder="1"/>
    <xf numFmtId="0" fontId="2" fillId="0" borderId="17" xfId="0" applyFont="1" applyBorder="1" applyAlignment="1">
      <alignment horizontal="center" vertical="center"/>
    </xf>
    <xf numFmtId="0" fontId="11" fillId="4" borderId="9" xfId="0" applyFont="1" applyFill="1" applyBorder="1"/>
    <xf numFmtId="0" fontId="11" fillId="2" borderId="9" xfId="0" applyFont="1" applyFill="1" applyBorder="1"/>
    <xf numFmtId="0" fontId="5" fillId="4" borderId="1" xfId="0" applyFont="1" applyFill="1" applyBorder="1"/>
    <xf numFmtId="0" fontId="0" fillId="12" borderId="1" xfId="0" applyFill="1" applyBorder="1"/>
    <xf numFmtId="0" fontId="5" fillId="4" borderId="9" xfId="0" applyFont="1" applyFill="1" applyBorder="1"/>
    <xf numFmtId="0" fontId="2" fillId="3" borderId="13" xfId="0" applyFont="1" applyFill="1" applyBorder="1" applyAlignment="1">
      <alignment horizontal="center" vertical="center" wrapText="1"/>
    </xf>
    <xf numFmtId="0" fontId="5" fillId="2" borderId="1" xfId="0" applyFont="1" applyFill="1" applyBorder="1"/>
    <xf numFmtId="0" fontId="5" fillId="0" borderId="1" xfId="0" applyFont="1" applyBorder="1"/>
    <xf numFmtId="0" fontId="11" fillId="2" borderId="1" xfId="0" applyFont="1" applyFill="1" applyBorder="1"/>
    <xf numFmtId="0" fontId="5" fillId="0" borderId="37" xfId="0" applyFont="1" applyBorder="1"/>
    <xf numFmtId="0" fontId="8" fillId="7" borderId="17" xfId="0" applyFont="1" applyFill="1" applyBorder="1" applyAlignment="1">
      <alignment horizontal="center" vertical="top"/>
    </xf>
    <xf numFmtId="0" fontId="11" fillId="4" borderId="9" xfId="0" applyFont="1" applyFill="1" applyBorder="1" applyAlignment="1">
      <alignment wrapText="1"/>
    </xf>
    <xf numFmtId="0" fontId="5" fillId="0" borderId="37" xfId="0" applyFont="1" applyBorder="1" applyAlignment="1">
      <alignment vertical="top"/>
    </xf>
    <xf numFmtId="0" fontId="5" fillId="0" borderId="1" xfId="0" applyFont="1" applyBorder="1" applyAlignment="1">
      <alignment vertical="top"/>
    </xf>
    <xf numFmtId="0" fontId="5" fillId="10" borderId="1" xfId="0" applyFont="1" applyFill="1" applyBorder="1"/>
    <xf numFmtId="0" fontId="5" fillId="8" borderId="30" xfId="0" applyFont="1" applyFill="1" applyBorder="1"/>
    <xf numFmtId="0" fontId="2" fillId="3" borderId="34" xfId="0" applyFont="1" applyFill="1" applyBorder="1" applyAlignment="1">
      <alignment horizontal="center" vertical="center"/>
    </xf>
    <xf numFmtId="0" fontId="11" fillId="2" borderId="9" xfId="0" applyFont="1" applyFill="1" applyBorder="1" applyAlignment="1">
      <alignment wrapText="1"/>
    </xf>
    <xf numFmtId="0" fontId="2" fillId="5" borderId="10" xfId="0" applyFont="1" applyFill="1" applyBorder="1" applyAlignment="1">
      <alignment horizontal="center" vertical="center" wrapText="1"/>
    </xf>
    <xf numFmtId="0" fontId="23" fillId="0" borderId="0" xfId="0" applyFont="1"/>
    <xf numFmtId="0" fontId="16" fillId="15" borderId="12" xfId="0" applyFont="1" applyFill="1" applyBorder="1" applyAlignment="1">
      <alignment horizontal="center" vertical="center" wrapText="1"/>
    </xf>
    <xf numFmtId="0" fontId="16" fillId="18" borderId="14" xfId="0" applyFont="1" applyFill="1" applyBorder="1" applyAlignment="1">
      <alignment horizontal="center" vertical="center" wrapText="1"/>
    </xf>
    <xf numFmtId="0" fontId="25" fillId="15" borderId="25" xfId="0" applyFont="1" applyFill="1" applyBorder="1" applyAlignment="1">
      <alignment horizontal="left" vertical="top"/>
    </xf>
    <xf numFmtId="0" fontId="23" fillId="2" borderId="39" xfId="0" applyFont="1" applyFill="1" applyBorder="1"/>
    <xf numFmtId="0" fontId="21" fillId="0" borderId="20" xfId="0" applyFont="1" applyBorder="1" applyAlignment="1">
      <alignment horizontal="center" vertical="center"/>
    </xf>
    <xf numFmtId="0" fontId="23" fillId="0" borderId="9" xfId="0" applyFont="1" applyBorder="1" applyAlignment="1">
      <alignment horizontal="center" vertical="center"/>
    </xf>
    <xf numFmtId="0" fontId="23" fillId="0" borderId="1" xfId="0" applyFont="1" applyBorder="1" applyAlignment="1">
      <alignment horizontal="center" vertical="center"/>
    </xf>
    <xf numFmtId="0" fontId="23" fillId="16" borderId="1" xfId="0" applyFont="1" applyFill="1" applyBorder="1" applyAlignment="1">
      <alignment horizontal="center" vertical="center"/>
    </xf>
    <xf numFmtId="0" fontId="23" fillId="15" borderId="1" xfId="0" applyFont="1" applyFill="1" applyBorder="1" applyAlignment="1">
      <alignment horizontal="center" vertical="center"/>
    </xf>
    <xf numFmtId="0" fontId="27" fillId="0" borderId="0" xfId="0" applyFont="1" applyAlignment="1">
      <alignment horizontal="left" vertical="center" indent="3"/>
    </xf>
    <xf numFmtId="0" fontId="0" fillId="0" borderId="0" xfId="0" applyAlignment="1">
      <alignment wrapText="1"/>
    </xf>
    <xf numFmtId="0" fontId="0" fillId="0" borderId="0" xfId="0" applyAlignment="1">
      <alignment horizontal="right"/>
    </xf>
    <xf numFmtId="0" fontId="2" fillId="0" borderId="0" xfId="0" applyFont="1" applyAlignment="1">
      <alignment wrapText="1"/>
    </xf>
    <xf numFmtId="0" fontId="28" fillId="0" borderId="0" xfId="0" applyFont="1" applyAlignment="1">
      <alignment horizontal="left" vertical="center" indent="3"/>
    </xf>
    <xf numFmtId="0" fontId="1" fillId="0" borderId="0" xfId="0" applyFont="1" applyAlignment="1">
      <alignment wrapText="1"/>
    </xf>
    <xf numFmtId="0" fontId="28" fillId="0" borderId="0" xfId="0" applyFont="1" applyAlignment="1">
      <alignment horizontal="left" vertical="center" indent="2"/>
    </xf>
    <xf numFmtId="0" fontId="29" fillId="0" borderId="0" xfId="0" applyFont="1" applyAlignment="1">
      <alignment horizontal="left" vertical="center" indent="10"/>
    </xf>
    <xf numFmtId="0" fontId="28" fillId="0" borderId="0" xfId="0" applyFont="1" applyAlignment="1">
      <alignment horizontal="left" vertical="center" indent="15"/>
    </xf>
    <xf numFmtId="0" fontId="1" fillId="0" borderId="0" xfId="0" applyFont="1" applyAlignment="1">
      <alignment vertical="center"/>
    </xf>
    <xf numFmtId="0" fontId="2" fillId="0" borderId="0" xfId="0" applyFont="1" applyAlignment="1">
      <alignment horizontal="right"/>
    </xf>
    <xf numFmtId="0" fontId="28" fillId="0" borderId="0" xfId="0" applyFont="1" applyAlignment="1">
      <alignment horizontal="left" wrapText="1"/>
    </xf>
    <xf numFmtId="0" fontId="10" fillId="0" borderId="0" xfId="0" applyFont="1"/>
    <xf numFmtId="0" fontId="0" fillId="20" borderId="0" xfId="0" applyFill="1"/>
    <xf numFmtId="0" fontId="0" fillId="20" borderId="0" xfId="0" applyFill="1" applyAlignment="1">
      <alignment wrapText="1"/>
    </xf>
    <xf numFmtId="0" fontId="30" fillId="17" borderId="13" xfId="0" applyFont="1" applyFill="1" applyBorder="1" applyAlignment="1">
      <alignment horizontal="center" vertical="center" wrapText="1"/>
    </xf>
    <xf numFmtId="0" fontId="31" fillId="2" borderId="39" xfId="0" applyFont="1" applyFill="1" applyBorder="1"/>
    <xf numFmtId="0" fontId="4" fillId="9" borderId="22" xfId="0" applyFont="1" applyFill="1" applyBorder="1" applyAlignment="1">
      <alignment horizontal="center" vertical="center" wrapText="1"/>
    </xf>
    <xf numFmtId="0" fontId="5" fillId="16" borderId="1" xfId="0" applyFont="1" applyFill="1" applyBorder="1" applyAlignment="1">
      <alignment horizontal="center"/>
    </xf>
    <xf numFmtId="0" fontId="34" fillId="5" borderId="1" xfId="0" applyFont="1" applyFill="1" applyBorder="1"/>
    <xf numFmtId="0" fontId="32" fillId="2" borderId="10" xfId="0" applyFont="1" applyFill="1" applyBorder="1" applyAlignment="1">
      <alignment horizontal="center" vertical="center" wrapText="1"/>
    </xf>
    <xf numFmtId="0" fontId="16" fillId="16" borderId="10" xfId="0" applyFont="1" applyFill="1" applyBorder="1" applyAlignment="1">
      <alignment horizontal="left" vertical="center" wrapText="1"/>
    </xf>
    <xf numFmtId="0" fontId="30" fillId="18" borderId="22" xfId="0" applyFont="1" applyFill="1" applyBorder="1" applyAlignment="1">
      <alignment horizontal="center" vertical="center" wrapText="1"/>
    </xf>
    <xf numFmtId="0" fontId="36" fillId="0" borderId="0" xfId="0" applyFont="1"/>
    <xf numFmtId="0" fontId="37" fillId="0" borderId="0" xfId="0" applyFont="1" applyAlignment="1">
      <alignment wrapText="1"/>
    </xf>
    <xf numFmtId="0" fontId="2" fillId="0" borderId="0" xfId="0" applyFont="1" applyAlignment="1">
      <alignment horizontal="right" vertical="center" indent="2"/>
    </xf>
    <xf numFmtId="0" fontId="4" fillId="0" borderId="0" xfId="0" applyFont="1" applyAlignment="1">
      <alignment horizontal="right" vertical="center" indent="2"/>
    </xf>
    <xf numFmtId="0" fontId="32" fillId="0" borderId="0" xfId="0" applyFont="1" applyAlignment="1">
      <alignment horizontal="right" vertical="center" indent="2"/>
    </xf>
    <xf numFmtId="0" fontId="2" fillId="0" borderId="0" xfId="0" applyFont="1" applyAlignment="1">
      <alignment horizontal="left" vertical="center" wrapText="1" indent="2"/>
    </xf>
    <xf numFmtId="0" fontId="2" fillId="0" borderId="0" xfId="0" applyFont="1"/>
    <xf numFmtId="0" fontId="2" fillId="0" borderId="0" xfId="0" applyFont="1" applyAlignment="1">
      <alignment horizontal="left" vertical="center" wrapText="1"/>
    </xf>
    <xf numFmtId="0" fontId="2" fillId="0" borderId="0" xfId="0" applyFont="1" applyAlignment="1">
      <alignment horizontal="right" vertical="center" indent="3"/>
    </xf>
    <xf numFmtId="0" fontId="33" fillId="0" borderId="0" xfId="0" applyFont="1" applyAlignment="1">
      <alignment horizontal="left" vertical="top" indent="3"/>
    </xf>
    <xf numFmtId="0" fontId="4" fillId="0" borderId="0" xfId="0" applyFont="1" applyAlignment="1">
      <alignment horizontal="right" vertical="center" indent="3"/>
    </xf>
    <xf numFmtId="0" fontId="4" fillId="0" borderId="0" xfId="0" applyFont="1" applyAlignment="1">
      <alignment horizontal="left" vertical="center" indent="3"/>
    </xf>
    <xf numFmtId="0" fontId="4" fillId="0" borderId="0" xfId="0" applyFont="1" applyAlignment="1">
      <alignment horizontal="right"/>
    </xf>
    <xf numFmtId="0" fontId="33" fillId="0" borderId="0" xfId="0" applyFont="1" applyAlignment="1">
      <alignment horizontal="right" vertical="center" indent="3"/>
    </xf>
    <xf numFmtId="0" fontId="2" fillId="0" borderId="0" xfId="0" applyFont="1" applyAlignment="1">
      <alignment horizontal="left" vertical="center" indent="2"/>
    </xf>
    <xf numFmtId="0" fontId="5" fillId="0" borderId="0" xfId="0" applyFont="1"/>
    <xf numFmtId="0" fontId="35" fillId="0" borderId="0" xfId="0" applyFont="1" applyAlignment="1">
      <alignment horizontal="left" vertical="center" wrapText="1"/>
    </xf>
    <xf numFmtId="0" fontId="5" fillId="2" borderId="20" xfId="0" applyFont="1" applyFill="1" applyBorder="1"/>
    <xf numFmtId="0" fontId="33" fillId="3" borderId="22" xfId="0" applyFont="1" applyFill="1" applyBorder="1" applyAlignment="1">
      <alignment horizontal="center" vertical="center" wrapText="1"/>
    </xf>
    <xf numFmtId="0" fontId="32" fillId="4" borderId="17" xfId="0" applyFont="1" applyFill="1" applyBorder="1" applyAlignment="1">
      <alignment horizontal="center" vertical="center" wrapText="1"/>
    </xf>
    <xf numFmtId="0" fontId="33" fillId="5" borderId="17" xfId="0" applyFont="1" applyFill="1" applyBorder="1" applyAlignment="1">
      <alignment horizontal="center" vertical="top" wrapText="1"/>
    </xf>
    <xf numFmtId="0" fontId="33" fillId="2" borderId="17" xfId="0" applyFont="1" applyFill="1" applyBorder="1" applyAlignment="1">
      <alignment horizontal="center" vertical="top"/>
    </xf>
    <xf numFmtId="0" fontId="40" fillId="12" borderId="17" xfId="0" applyFont="1" applyFill="1" applyBorder="1" applyAlignment="1">
      <alignment horizontal="center" vertical="top" wrapText="1"/>
    </xf>
    <xf numFmtId="0" fontId="32" fillId="2" borderId="17" xfId="0" applyFont="1" applyFill="1" applyBorder="1" applyAlignment="1">
      <alignment horizontal="center" vertical="top" wrapText="1"/>
    </xf>
    <xf numFmtId="0" fontId="40" fillId="6" borderId="17" xfId="0" applyFont="1" applyFill="1" applyBorder="1" applyAlignment="1">
      <alignment horizontal="center" vertical="top" wrapText="1"/>
    </xf>
    <xf numFmtId="0" fontId="32" fillId="16" borderId="10" xfId="0" applyFont="1" applyFill="1" applyBorder="1" applyAlignment="1">
      <alignment horizontal="center" vertical="center" wrapText="1"/>
    </xf>
    <xf numFmtId="0" fontId="33" fillId="4" borderId="10"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42" fillId="0" borderId="0" xfId="0" applyFont="1" applyAlignment="1">
      <alignment horizontal="left" vertical="center" wrapText="1"/>
    </xf>
    <xf numFmtId="0" fontId="2" fillId="21" borderId="14" xfId="0" applyFont="1" applyFill="1" applyBorder="1" applyAlignment="1">
      <alignment horizontal="center" vertical="center" wrapText="1"/>
    </xf>
    <xf numFmtId="0" fontId="33" fillId="2" borderId="17" xfId="0" applyFont="1" applyFill="1" applyBorder="1" applyAlignment="1">
      <alignment horizontal="center" vertical="top" wrapText="1"/>
    </xf>
    <xf numFmtId="0" fontId="5" fillId="2" borderId="1" xfId="0" applyFont="1" applyFill="1" applyBorder="1" applyAlignment="1">
      <alignment vertical="top" wrapText="1"/>
    </xf>
    <xf numFmtId="0" fontId="0" fillId="2" borderId="1" xfId="0" applyFill="1" applyBorder="1" applyAlignment="1">
      <alignment wrapText="1"/>
    </xf>
    <xf numFmtId="0" fontId="53" fillId="0" borderId="0" xfId="0" applyFont="1"/>
    <xf numFmtId="0" fontId="21" fillId="17" borderId="29" xfId="0" applyFont="1" applyFill="1" applyBorder="1"/>
    <xf numFmtId="0" fontId="21" fillId="17" borderId="23" xfId="0" applyFont="1" applyFill="1" applyBorder="1"/>
    <xf numFmtId="0" fontId="54" fillId="24" borderId="19" xfId="0" applyFont="1" applyFill="1" applyBorder="1"/>
    <xf numFmtId="0" fontId="54" fillId="24" borderId="23" xfId="0" applyFont="1" applyFill="1" applyBorder="1"/>
    <xf numFmtId="0" fontId="2" fillId="0" borderId="0" xfId="0" applyFont="1" applyAlignment="1">
      <alignment horizontal="right" vertical="center" wrapText="1" indent="2"/>
    </xf>
    <xf numFmtId="0" fontId="0" fillId="0" borderId="44" xfId="0" applyBorder="1" applyAlignment="1">
      <alignment wrapText="1"/>
    </xf>
    <xf numFmtId="0" fontId="2" fillId="0" borderId="45" xfId="0" applyFont="1" applyBorder="1" applyAlignment="1">
      <alignment horizontal="left" vertical="center" wrapText="1"/>
    </xf>
    <xf numFmtId="0" fontId="2" fillId="0" borderId="46" xfId="0" applyFont="1" applyBorder="1" applyAlignment="1">
      <alignment horizontal="left" vertical="center" wrapText="1"/>
    </xf>
    <xf numFmtId="0" fontId="0" fillId="0" borderId="47" xfId="0" applyBorder="1"/>
    <xf numFmtId="0" fontId="0" fillId="0" borderId="48" xfId="0" applyBorder="1" applyAlignment="1">
      <alignment wrapText="1"/>
    </xf>
    <xf numFmtId="0" fontId="0" fillId="0" borderId="49" xfId="0" applyBorder="1"/>
    <xf numFmtId="0" fontId="0" fillId="0" borderId="50" xfId="0" applyBorder="1" applyAlignment="1">
      <alignment wrapText="1"/>
    </xf>
    <xf numFmtId="0" fontId="0" fillId="0" borderId="51" xfId="0" applyBorder="1" applyAlignment="1">
      <alignment wrapText="1"/>
    </xf>
    <xf numFmtId="0" fontId="0" fillId="0" borderId="44" xfId="0" applyBorder="1"/>
    <xf numFmtId="0" fontId="0" fillId="0" borderId="45" xfId="0" applyBorder="1" applyAlignment="1">
      <alignment wrapText="1"/>
    </xf>
    <xf numFmtId="0" fontId="0" fillId="0" borderId="46" xfId="0" applyBorder="1" applyAlignment="1">
      <alignment wrapText="1"/>
    </xf>
    <xf numFmtId="0" fontId="0" fillId="0" borderId="47" xfId="0" applyBorder="1" applyAlignment="1">
      <alignment wrapText="1"/>
    </xf>
    <xf numFmtId="0" fontId="0" fillId="0" borderId="49" xfId="0" applyBorder="1" applyAlignment="1">
      <alignment wrapText="1"/>
    </xf>
    <xf numFmtId="0" fontId="1" fillId="0" borderId="44" xfId="0" applyFont="1" applyBorder="1" applyAlignment="1">
      <alignment wrapText="1"/>
    </xf>
    <xf numFmtId="0" fontId="1" fillId="20" borderId="0" xfId="0" applyFont="1" applyFill="1"/>
    <xf numFmtId="0" fontId="57" fillId="0" borderId="0" xfId="0" applyFont="1"/>
    <xf numFmtId="0" fontId="10" fillId="5" borderId="52" xfId="0" applyFont="1" applyFill="1" applyBorder="1" applyAlignment="1">
      <alignment horizontal="center" vertical="center" textRotation="90"/>
    </xf>
    <xf numFmtId="0" fontId="52" fillId="5" borderId="26" xfId="0" applyFont="1" applyFill="1" applyBorder="1" applyAlignment="1">
      <alignment horizontal="left" vertical="center" wrapText="1"/>
    </xf>
    <xf numFmtId="0" fontId="10" fillId="25" borderId="25" xfId="0" applyFont="1" applyFill="1" applyBorder="1" applyAlignment="1">
      <alignment horizontal="center" vertical="center" textRotation="90" wrapText="1"/>
    </xf>
    <xf numFmtId="0" fontId="10" fillId="13" borderId="25" xfId="0" applyFont="1" applyFill="1" applyBorder="1" applyAlignment="1">
      <alignment horizontal="center" vertical="center" textRotation="90" wrapText="1"/>
    </xf>
    <xf numFmtId="0" fontId="43" fillId="13" borderId="53" xfId="0" applyFont="1" applyFill="1" applyBorder="1"/>
    <xf numFmtId="0" fontId="0" fillId="0" borderId="54" xfId="0" applyBorder="1"/>
    <xf numFmtId="0" fontId="5" fillId="0" borderId="47" xfId="0" applyFont="1" applyBorder="1"/>
    <xf numFmtId="0" fontId="5" fillId="0" borderId="48" xfId="0" applyFont="1" applyBorder="1"/>
    <xf numFmtId="0" fontId="1" fillId="0" borderId="55" xfId="0" applyFont="1" applyBorder="1" applyAlignment="1">
      <alignment wrapText="1"/>
    </xf>
    <xf numFmtId="0" fontId="2" fillId="0" borderId="56" xfId="0" applyFont="1" applyBorder="1" applyAlignment="1">
      <alignment horizontal="left" vertical="center" wrapText="1"/>
    </xf>
    <xf numFmtId="0" fontId="2" fillId="0" borderId="57" xfId="0" applyFont="1" applyBorder="1" applyAlignment="1">
      <alignment horizontal="left" vertical="center" wrapText="1"/>
    </xf>
    <xf numFmtId="0" fontId="0" fillId="26" borderId="0" xfId="0" applyFill="1"/>
    <xf numFmtId="0" fontId="10" fillId="0" borderId="0" xfId="0" applyFont="1" applyAlignment="1">
      <alignment horizontal="right"/>
    </xf>
    <xf numFmtId="0" fontId="10" fillId="0" borderId="0" xfId="0" applyFont="1" applyAlignment="1">
      <alignment horizontal="left"/>
    </xf>
    <xf numFmtId="0" fontId="0" fillId="26" borderId="0" xfId="0" applyFill="1" applyAlignment="1">
      <alignment horizontal="right"/>
    </xf>
    <xf numFmtId="0" fontId="2" fillId="0" borderId="0" xfId="0" applyFont="1" applyAlignment="1">
      <alignment horizontal="right" wrapText="1"/>
    </xf>
    <xf numFmtId="0" fontId="0" fillId="4" borderId="1" xfId="0" applyFill="1" applyBorder="1" applyAlignment="1">
      <alignment vertical="center"/>
    </xf>
    <xf numFmtId="0" fontId="0" fillId="0" borderId="0" xfId="0" applyAlignment="1">
      <alignment horizontal="left"/>
    </xf>
    <xf numFmtId="49" fontId="61" fillId="3" borderId="20" xfId="0" applyNumberFormat="1" applyFont="1" applyFill="1" applyBorder="1" applyAlignment="1">
      <alignment vertical="top"/>
    </xf>
    <xf numFmtId="0" fontId="61" fillId="3" borderId="1" xfId="0" applyFont="1" applyFill="1" applyBorder="1"/>
    <xf numFmtId="0" fontId="61" fillId="2" borderId="1" xfId="0" applyFont="1" applyFill="1" applyBorder="1"/>
    <xf numFmtId="0" fontId="63" fillId="0" borderId="9" xfId="0" applyFont="1" applyBorder="1" applyAlignment="1">
      <alignment horizontal="center" vertical="center" wrapText="1"/>
    </xf>
    <xf numFmtId="0" fontId="54" fillId="14" borderId="23" xfId="0" applyFont="1" applyFill="1" applyBorder="1"/>
    <xf numFmtId="0" fontId="63" fillId="0" borderId="1" xfId="0" applyFont="1" applyBorder="1" applyAlignment="1">
      <alignment horizontal="center" vertical="center" wrapText="1"/>
    </xf>
    <xf numFmtId="0" fontId="54" fillId="15" borderId="20" xfId="0" applyFont="1" applyFill="1" applyBorder="1"/>
    <xf numFmtId="0" fontId="61" fillId="0" borderId="9" xfId="0" applyFont="1" applyBorder="1"/>
    <xf numFmtId="0" fontId="61" fillId="0" borderId="1" xfId="0" applyFont="1" applyBorder="1"/>
    <xf numFmtId="49" fontId="61" fillId="3" borderId="6" xfId="0" applyNumberFormat="1" applyFont="1" applyFill="1" applyBorder="1"/>
    <xf numFmtId="0" fontId="61" fillId="5" borderId="1" xfId="0" applyFont="1" applyFill="1" applyBorder="1"/>
    <xf numFmtId="0" fontId="63" fillId="3" borderId="34" xfId="0" applyFont="1" applyFill="1" applyBorder="1" applyAlignment="1">
      <alignment horizontal="center" vertical="center"/>
    </xf>
    <xf numFmtId="0" fontId="64" fillId="4" borderId="17" xfId="0" applyFont="1" applyFill="1" applyBorder="1" applyAlignment="1">
      <alignment horizontal="center" vertical="center" wrapText="1"/>
    </xf>
    <xf numFmtId="0" fontId="63" fillId="5" borderId="17" xfId="0" applyFont="1" applyFill="1" applyBorder="1" applyAlignment="1">
      <alignment horizontal="center" vertical="top" wrapText="1"/>
    </xf>
    <xf numFmtId="0" fontId="63" fillId="2" borderId="17" xfId="0" applyFont="1" applyFill="1" applyBorder="1" applyAlignment="1">
      <alignment horizontal="center" vertical="top"/>
    </xf>
    <xf numFmtId="0" fontId="13" fillId="12" borderId="17" xfId="0" applyFont="1" applyFill="1" applyBorder="1" applyAlignment="1">
      <alignment horizontal="center" vertical="top" wrapText="1"/>
    </xf>
    <xf numFmtId="0" fontId="13" fillId="7" borderId="17" xfId="0" applyFont="1" applyFill="1" applyBorder="1" applyAlignment="1">
      <alignment horizontal="center" vertical="top" wrapText="1"/>
    </xf>
    <xf numFmtId="0" fontId="63" fillId="0" borderId="17" xfId="0" applyFont="1" applyBorder="1" applyAlignment="1">
      <alignment horizontal="center" vertical="center"/>
    </xf>
    <xf numFmtId="0" fontId="61" fillId="4" borderId="35" xfId="0" applyFont="1" applyFill="1" applyBorder="1" applyAlignment="1">
      <alignment vertical="top"/>
    </xf>
    <xf numFmtId="0" fontId="61" fillId="5" borderId="1" xfId="0" applyFont="1" applyFill="1" applyBorder="1" applyAlignment="1">
      <alignment vertical="top" wrapText="1"/>
    </xf>
    <xf numFmtId="0" fontId="61" fillId="2" borderId="1" xfId="0" applyFont="1" applyFill="1" applyBorder="1" applyAlignment="1">
      <alignment vertical="top"/>
    </xf>
    <xf numFmtId="0" fontId="61" fillId="12" borderId="1" xfId="0" applyFont="1" applyFill="1" applyBorder="1" applyAlignment="1">
      <alignment vertical="top"/>
    </xf>
    <xf numFmtId="0" fontId="61" fillId="7" borderId="1" xfId="0" applyFont="1" applyFill="1" applyBorder="1" applyAlignment="1">
      <alignment vertical="top"/>
    </xf>
    <xf numFmtId="0" fontId="61" fillId="0" borderId="35" xfId="0" applyFont="1" applyBorder="1" applyAlignment="1">
      <alignment vertical="top"/>
    </xf>
    <xf numFmtId="0" fontId="61" fillId="0" borderId="35" xfId="0" applyFont="1" applyBorder="1"/>
    <xf numFmtId="0" fontId="61" fillId="5" borderId="1" xfId="0" applyFont="1" applyFill="1" applyBorder="1" applyAlignment="1">
      <alignment wrapText="1"/>
    </xf>
    <xf numFmtId="0" fontId="61" fillId="12" borderId="1" xfId="0" applyFont="1" applyFill="1" applyBorder="1"/>
    <xf numFmtId="0" fontId="61" fillId="7" borderId="1" xfId="0" applyFont="1" applyFill="1" applyBorder="1"/>
    <xf numFmtId="0" fontId="61" fillId="0" borderId="1" xfId="0" applyFont="1" applyBorder="1" applyAlignment="1">
      <alignment vertical="top"/>
    </xf>
    <xf numFmtId="0" fontId="61" fillId="3" borderId="20" xfId="0" applyFont="1" applyFill="1" applyBorder="1" applyAlignment="1">
      <alignment vertical="top"/>
    </xf>
    <xf numFmtId="0" fontId="61" fillId="3" borderId="20" xfId="0" applyFont="1" applyFill="1" applyBorder="1"/>
    <xf numFmtId="0" fontId="61" fillId="4" borderId="1" xfId="0" applyFont="1" applyFill="1" applyBorder="1"/>
    <xf numFmtId="0" fontId="20" fillId="2" borderId="1" xfId="2" applyFont="1" applyFill="1" applyBorder="1" applyAlignment="1">
      <alignment vertical="top"/>
    </xf>
    <xf numFmtId="0" fontId="19" fillId="2" borderId="1" xfId="2" applyFill="1" applyBorder="1" applyAlignment="1">
      <alignment vertical="top" wrapText="1"/>
    </xf>
    <xf numFmtId="0" fontId="19" fillId="2" borderId="1" xfId="2" applyFill="1" applyBorder="1"/>
    <xf numFmtId="0" fontId="19" fillId="2" borderId="1" xfId="2" applyFill="1" applyBorder="1" applyAlignment="1">
      <alignment wrapText="1"/>
    </xf>
    <xf numFmtId="0" fontId="0" fillId="3" borderId="2" xfId="0" applyFill="1" applyBorder="1" applyAlignment="1">
      <alignment wrapText="1"/>
    </xf>
    <xf numFmtId="0" fontId="63" fillId="3" borderId="12" xfId="0" applyFont="1" applyFill="1" applyBorder="1" applyAlignment="1">
      <alignment horizontal="center" vertical="center" wrapText="1"/>
    </xf>
    <xf numFmtId="0" fontId="63" fillId="4" borderId="17" xfId="0" applyFont="1" applyFill="1" applyBorder="1" applyAlignment="1">
      <alignment horizontal="center" vertical="center" wrapText="1"/>
    </xf>
    <xf numFmtId="0" fontId="63" fillId="5" borderId="17" xfId="0" applyFont="1" applyFill="1" applyBorder="1" applyAlignment="1">
      <alignment horizontal="center" vertical="center" wrapText="1"/>
    </xf>
    <xf numFmtId="0" fontId="63" fillId="11" borderId="17" xfId="0" applyFont="1" applyFill="1" applyBorder="1" applyAlignment="1">
      <alignment horizontal="center" vertical="center"/>
    </xf>
    <xf numFmtId="0" fontId="63" fillId="2" borderId="17" xfId="0" applyFont="1" applyFill="1" applyBorder="1" applyAlignment="1">
      <alignment horizontal="center" vertical="center"/>
    </xf>
    <xf numFmtId="0" fontId="64" fillId="10" borderId="40" xfId="0" applyFont="1" applyFill="1" applyBorder="1" applyAlignment="1">
      <alignment horizontal="center" vertical="top" wrapText="1"/>
    </xf>
    <xf numFmtId="0" fontId="13" fillId="6" borderId="17" xfId="0" applyFont="1" applyFill="1" applyBorder="1" applyAlignment="1">
      <alignment horizontal="center" vertical="top" wrapText="1"/>
    </xf>
    <xf numFmtId="0" fontId="13" fillId="13" borderId="17" xfId="0" applyFont="1" applyFill="1" applyBorder="1" applyAlignment="1">
      <alignment horizontal="center" vertical="top" wrapText="1"/>
    </xf>
    <xf numFmtId="0" fontId="64" fillId="8" borderId="17" xfId="0" applyFont="1" applyFill="1" applyBorder="1" applyAlignment="1">
      <alignment horizontal="center" vertical="center"/>
    </xf>
    <xf numFmtId="0" fontId="13" fillId="7" borderId="17" xfId="0" applyFont="1" applyFill="1" applyBorder="1" applyAlignment="1">
      <alignment horizontal="center" vertical="center" wrapText="1"/>
    </xf>
    <xf numFmtId="0" fontId="61" fillId="0" borderId="17" xfId="0" applyFont="1" applyBorder="1" applyAlignment="1">
      <alignment horizontal="center" vertical="center"/>
    </xf>
    <xf numFmtId="0" fontId="61" fillId="4" borderId="1" xfId="0" applyFont="1" applyFill="1" applyBorder="1" applyAlignment="1">
      <alignment vertical="top" wrapText="1"/>
    </xf>
    <xf numFmtId="0" fontId="61" fillId="2" borderId="2" xfId="0" applyFont="1" applyFill="1" applyBorder="1" applyAlignment="1">
      <alignment vertical="top"/>
    </xf>
    <xf numFmtId="0" fontId="61" fillId="6" borderId="1" xfId="0" applyFont="1" applyFill="1" applyBorder="1" applyAlignment="1">
      <alignment horizontal="center" vertical="top"/>
    </xf>
    <xf numFmtId="0" fontId="61" fillId="6" borderId="19" xfId="0" applyFont="1" applyFill="1" applyBorder="1" applyAlignment="1">
      <alignment vertical="top"/>
    </xf>
    <xf numFmtId="0" fontId="61" fillId="13" borderId="1" xfId="0" applyFont="1" applyFill="1" applyBorder="1" applyAlignment="1">
      <alignment vertical="top"/>
    </xf>
    <xf numFmtId="0" fontId="61" fillId="8" borderId="1" xfId="0" applyFont="1" applyFill="1" applyBorder="1"/>
    <xf numFmtId="0" fontId="13" fillId="7" borderId="38" xfId="0" applyFont="1" applyFill="1" applyBorder="1" applyAlignment="1">
      <alignment horizontal="center" vertical="top"/>
    </xf>
    <xf numFmtId="0" fontId="61" fillId="0" borderId="38" xfId="0" applyFont="1" applyBorder="1" applyAlignment="1">
      <alignment horizontal="center" vertical="center"/>
    </xf>
    <xf numFmtId="49" fontId="61" fillId="3" borderId="20" xfId="0" applyNumberFormat="1" applyFont="1" applyFill="1" applyBorder="1"/>
    <xf numFmtId="0" fontId="61" fillId="4" borderId="1" xfId="0" applyFont="1" applyFill="1" applyBorder="1" applyAlignment="1">
      <alignment wrapText="1"/>
    </xf>
    <xf numFmtId="0" fontId="61" fillId="4" borderId="1" xfId="0" applyFont="1" applyFill="1" applyBorder="1" applyAlignment="1">
      <alignment horizontal="justify" vertical="center" wrapText="1"/>
    </xf>
    <xf numFmtId="0" fontId="61" fillId="2" borderId="2" xfId="0" applyFont="1" applyFill="1" applyBorder="1"/>
    <xf numFmtId="0" fontId="61" fillId="6" borderId="19" xfId="0" applyFont="1" applyFill="1" applyBorder="1"/>
    <xf numFmtId="0" fontId="61" fillId="6" borderId="1" xfId="0" applyFont="1" applyFill="1" applyBorder="1"/>
    <xf numFmtId="0" fontId="61" fillId="13" borderId="1" xfId="0" applyFont="1" applyFill="1" applyBorder="1"/>
    <xf numFmtId="0" fontId="61" fillId="0" borderId="0" xfId="0" applyFont="1"/>
    <xf numFmtId="0" fontId="60" fillId="0" borderId="0" xfId="0" applyFont="1" applyAlignment="1">
      <alignment wrapText="1"/>
    </xf>
    <xf numFmtId="0" fontId="61" fillId="2" borderId="9" xfId="0" applyFont="1" applyFill="1" applyBorder="1" applyAlignment="1">
      <alignment vertical="top"/>
    </xf>
    <xf numFmtId="0" fontId="61" fillId="0" borderId="9" xfId="0" applyFont="1" applyBorder="1" applyAlignment="1">
      <alignment vertical="top"/>
    </xf>
    <xf numFmtId="49" fontId="61" fillId="3" borderId="6" xfId="0" applyNumberFormat="1" applyFont="1" applyFill="1" applyBorder="1" applyAlignment="1">
      <alignment vertical="top"/>
    </xf>
    <xf numFmtId="0" fontId="61" fillId="5" borderId="1" xfId="0" applyFont="1" applyFill="1" applyBorder="1" applyAlignment="1">
      <alignment vertical="top"/>
    </xf>
    <xf numFmtId="49" fontId="61" fillId="3" borderId="20" xfId="0" applyNumberFormat="1" applyFont="1" applyFill="1" applyBorder="1" applyAlignment="1">
      <alignment horizontal="left" vertical="top"/>
    </xf>
    <xf numFmtId="0" fontId="61" fillId="3" borderId="1" xfId="0" applyFont="1" applyFill="1" applyBorder="1" applyAlignment="1">
      <alignment horizontal="left" vertical="top"/>
    </xf>
    <xf numFmtId="0" fontId="61" fillId="3" borderId="16" xfId="0" applyFont="1" applyFill="1" applyBorder="1" applyAlignment="1">
      <alignment horizontal="left" vertical="top"/>
    </xf>
    <xf numFmtId="0" fontId="61" fillId="3" borderId="16" xfId="0" applyFont="1" applyFill="1" applyBorder="1" applyAlignment="1">
      <alignment horizontal="left" vertical="top" wrapText="1"/>
    </xf>
    <xf numFmtId="0" fontId="13" fillId="3" borderId="2" xfId="0" applyFont="1" applyFill="1" applyBorder="1" applyAlignment="1">
      <alignment horizontal="left" vertical="top" wrapText="1"/>
    </xf>
    <xf numFmtId="8" fontId="54" fillId="16" borderId="42" xfId="0" applyNumberFormat="1" applyFont="1" applyFill="1" applyBorder="1" applyAlignment="1">
      <alignment horizontal="left" vertical="top" wrapText="1"/>
    </xf>
    <xf numFmtId="0" fontId="54" fillId="14" borderId="19" xfId="0" applyFont="1" applyFill="1" applyBorder="1" applyAlignment="1">
      <alignment horizontal="left" vertical="top"/>
    </xf>
    <xf numFmtId="0" fontId="54" fillId="14" borderId="43" xfId="0" applyFont="1" applyFill="1" applyBorder="1" applyAlignment="1">
      <alignment horizontal="left" vertical="top"/>
    </xf>
    <xf numFmtId="0" fontId="62" fillId="14" borderId="9" xfId="0" applyFont="1" applyFill="1" applyBorder="1" applyAlignment="1">
      <alignment horizontal="left" vertical="top" wrapText="1"/>
    </xf>
    <xf numFmtId="0" fontId="61" fillId="9" borderId="20" xfId="0" applyFont="1" applyFill="1" applyBorder="1" applyAlignment="1">
      <alignment horizontal="left" vertical="top"/>
    </xf>
    <xf numFmtId="0" fontId="61" fillId="9" borderId="23" xfId="0" applyFont="1" applyFill="1" applyBorder="1" applyAlignment="1">
      <alignment horizontal="left" vertical="top"/>
    </xf>
    <xf numFmtId="0" fontId="61" fillId="2" borderId="1" xfId="0" applyFont="1" applyFill="1" applyBorder="1" applyAlignment="1">
      <alignment horizontal="left" vertical="top"/>
    </xf>
    <xf numFmtId="0" fontId="61" fillId="2" borderId="7" xfId="0" applyFont="1" applyFill="1" applyBorder="1" applyAlignment="1">
      <alignment horizontal="left" vertical="top"/>
    </xf>
    <xf numFmtId="0" fontId="63" fillId="0" borderId="9" xfId="0" applyFont="1" applyBorder="1" applyAlignment="1">
      <alignment horizontal="left" vertical="top" wrapText="1"/>
    </xf>
    <xf numFmtId="0" fontId="54" fillId="15" borderId="16" xfId="0" applyFont="1" applyFill="1" applyBorder="1" applyAlignment="1">
      <alignment horizontal="left" vertical="top" wrapText="1"/>
    </xf>
    <xf numFmtId="0" fontId="61" fillId="3" borderId="2" xfId="0" applyFont="1" applyFill="1" applyBorder="1" applyAlignment="1">
      <alignment horizontal="left" vertical="top" wrapText="1"/>
    </xf>
    <xf numFmtId="0" fontId="62" fillId="15" borderId="2" xfId="0" applyFont="1" applyFill="1" applyBorder="1" applyAlignment="1">
      <alignment horizontal="left" vertical="top" wrapText="1"/>
    </xf>
    <xf numFmtId="0" fontId="54" fillId="14" borderId="23" xfId="0" applyFont="1" applyFill="1" applyBorder="1" applyAlignment="1">
      <alignment horizontal="left" vertical="top"/>
    </xf>
    <xf numFmtId="0" fontId="54" fillId="14" borderId="41" xfId="0" applyFont="1" applyFill="1" applyBorder="1" applyAlignment="1">
      <alignment horizontal="left" vertical="top"/>
    </xf>
    <xf numFmtId="0" fontId="61" fillId="9" borderId="19" xfId="0" applyFont="1" applyFill="1" applyBorder="1" applyAlignment="1">
      <alignment horizontal="left" vertical="top"/>
    </xf>
    <xf numFmtId="0" fontId="61" fillId="2" borderId="9" xfId="0" applyFont="1" applyFill="1" applyBorder="1" applyAlignment="1">
      <alignment horizontal="left" vertical="top"/>
    </xf>
    <xf numFmtId="0" fontId="63" fillId="0" borderId="1" xfId="0" applyFont="1" applyBorder="1" applyAlignment="1">
      <alignment horizontal="left" vertical="top" wrapText="1"/>
    </xf>
    <xf numFmtId="0" fontId="54" fillId="15" borderId="20" xfId="0" applyFont="1" applyFill="1" applyBorder="1" applyAlignment="1">
      <alignment horizontal="left" vertical="top"/>
    </xf>
    <xf numFmtId="0" fontId="62" fillId="15" borderId="16" xfId="0" applyFont="1" applyFill="1" applyBorder="1" applyAlignment="1">
      <alignment horizontal="left" vertical="top" wrapText="1"/>
    </xf>
    <xf numFmtId="8" fontId="54" fillId="16" borderId="42" xfId="0" applyNumberFormat="1" applyFont="1" applyFill="1" applyBorder="1" applyAlignment="1">
      <alignment horizontal="left" vertical="top"/>
    </xf>
    <xf numFmtId="0" fontId="61" fillId="2" borderId="21" xfId="0" applyFont="1" applyFill="1" applyBorder="1" applyAlignment="1">
      <alignment horizontal="left" vertical="top"/>
    </xf>
    <xf numFmtId="0" fontId="61" fillId="0" borderId="9" xfId="0" applyFont="1" applyBorder="1" applyAlignment="1">
      <alignment horizontal="left" vertical="top"/>
    </xf>
    <xf numFmtId="0" fontId="61" fillId="3" borderId="2" xfId="0" applyFont="1" applyFill="1" applyBorder="1" applyAlignment="1">
      <alignment horizontal="left" vertical="top"/>
    </xf>
    <xf numFmtId="0" fontId="61" fillId="0" borderId="1" xfId="0" applyFont="1" applyBorder="1" applyAlignment="1">
      <alignment horizontal="left" vertical="top"/>
    </xf>
    <xf numFmtId="49" fontId="61" fillId="3" borderId="6" xfId="0" applyNumberFormat="1" applyFont="1" applyFill="1" applyBorder="1" applyAlignment="1">
      <alignment horizontal="left" vertical="top"/>
    </xf>
    <xf numFmtId="44" fontId="61" fillId="4" borderId="8" xfId="1" applyFont="1" applyFill="1" applyBorder="1" applyAlignment="1">
      <alignment horizontal="left" vertical="top"/>
    </xf>
    <xf numFmtId="0" fontId="61" fillId="5" borderId="19" xfId="0" applyFont="1" applyFill="1" applyBorder="1" applyAlignment="1">
      <alignment horizontal="left" vertical="top"/>
    </xf>
    <xf numFmtId="0" fontId="61" fillId="5" borderId="1" xfId="0" applyFont="1" applyFill="1" applyBorder="1" applyAlignment="1">
      <alignment horizontal="left" vertical="top"/>
    </xf>
    <xf numFmtId="0" fontId="61" fillId="5" borderId="2" xfId="0" applyFont="1" applyFill="1" applyBorder="1" applyAlignment="1">
      <alignment horizontal="left" vertical="top"/>
    </xf>
    <xf numFmtId="0" fontId="61" fillId="4" borderId="9" xfId="0" applyFont="1" applyFill="1" applyBorder="1" applyAlignment="1">
      <alignment horizontal="left" vertical="center" wrapText="1"/>
    </xf>
    <xf numFmtId="0" fontId="61" fillId="4" borderId="1" xfId="0" applyFont="1" applyFill="1" applyBorder="1" applyAlignment="1">
      <alignment horizontal="left" vertical="center" wrapText="1"/>
    </xf>
    <xf numFmtId="0" fontId="61" fillId="4" borderId="1" xfId="0" applyFont="1" applyFill="1" applyBorder="1" applyAlignment="1">
      <alignment horizontal="left" vertical="center"/>
    </xf>
    <xf numFmtId="0" fontId="61" fillId="3" borderId="20" xfId="0" applyFont="1" applyFill="1" applyBorder="1" applyAlignment="1">
      <alignment horizontal="center" vertical="center"/>
    </xf>
    <xf numFmtId="0" fontId="63" fillId="2" borderId="17" xfId="0" applyFont="1" applyFill="1" applyBorder="1" applyAlignment="1">
      <alignment horizontal="center" vertical="center" wrapText="1"/>
    </xf>
    <xf numFmtId="0" fontId="13" fillId="7" borderId="17" xfId="0" applyFont="1" applyFill="1" applyBorder="1" applyAlignment="1">
      <alignment horizontal="center" vertical="center"/>
    </xf>
    <xf numFmtId="0" fontId="61" fillId="11" borderId="35" xfId="0" applyFont="1" applyFill="1" applyBorder="1" applyAlignment="1">
      <alignment vertical="top"/>
    </xf>
    <xf numFmtId="6" fontId="54" fillId="17" borderId="1" xfId="0" applyNumberFormat="1" applyFont="1" applyFill="1" applyBorder="1"/>
    <xf numFmtId="0" fontId="61" fillId="7" borderId="35" xfId="0" applyFont="1" applyFill="1" applyBorder="1" applyAlignment="1">
      <alignment vertical="top"/>
    </xf>
    <xf numFmtId="0" fontId="61" fillId="7" borderId="9" xfId="0" applyFont="1" applyFill="1" applyBorder="1" applyAlignment="1">
      <alignment vertical="top"/>
    </xf>
    <xf numFmtId="49" fontId="61" fillId="3" borderId="36" xfId="0" applyNumberFormat="1" applyFont="1" applyFill="1" applyBorder="1" applyAlignment="1">
      <alignment vertical="top"/>
    </xf>
    <xf numFmtId="0" fontId="61" fillId="2" borderId="37" xfId="0" applyFont="1" applyFill="1" applyBorder="1" applyAlignment="1">
      <alignment vertical="top"/>
    </xf>
    <xf numFmtId="0" fontId="61" fillId="7" borderId="37" xfId="0" applyFont="1" applyFill="1" applyBorder="1" applyAlignment="1">
      <alignment vertical="top"/>
    </xf>
    <xf numFmtId="0" fontId="61" fillId="0" borderId="37" xfId="0" applyFont="1" applyBorder="1" applyAlignment="1">
      <alignment vertical="top"/>
    </xf>
    <xf numFmtId="0" fontId="61" fillId="0" borderId="37" xfId="0" applyFont="1" applyBorder="1"/>
    <xf numFmtId="49" fontId="61" fillId="3" borderId="1" xfId="0" applyNumberFormat="1" applyFont="1" applyFill="1" applyBorder="1" applyAlignment="1">
      <alignment vertical="top"/>
    </xf>
    <xf numFmtId="0" fontId="61" fillId="4" borderId="1" xfId="0" applyFont="1" applyFill="1" applyBorder="1" applyAlignment="1">
      <alignment vertical="top"/>
    </xf>
    <xf numFmtId="0" fontId="61" fillId="4" borderId="1" xfId="0" applyFont="1" applyFill="1" applyBorder="1" applyAlignment="1">
      <alignment vertical="center"/>
    </xf>
    <xf numFmtId="0" fontId="61" fillId="11" borderId="35" xfId="0" applyFont="1" applyFill="1" applyBorder="1" applyAlignment="1">
      <alignment vertical="top" wrapText="1"/>
    </xf>
    <xf numFmtId="0" fontId="54" fillId="17" borderId="29" xfId="0" applyFont="1" applyFill="1" applyBorder="1"/>
    <xf numFmtId="0" fontId="61" fillId="6" borderId="1" xfId="0" applyFont="1" applyFill="1" applyBorder="1" applyAlignment="1">
      <alignment vertical="top"/>
    </xf>
    <xf numFmtId="0" fontId="61" fillId="11" borderId="37" xfId="0" applyFont="1" applyFill="1" applyBorder="1" applyAlignment="1">
      <alignment vertical="top" wrapText="1"/>
    </xf>
    <xf numFmtId="0" fontId="61" fillId="11" borderId="1" xfId="0" applyFont="1" applyFill="1" applyBorder="1" applyAlignment="1">
      <alignment vertical="top" wrapText="1"/>
    </xf>
    <xf numFmtId="0" fontId="61" fillId="6" borderId="37" xfId="0" applyFont="1" applyFill="1" applyBorder="1" applyAlignment="1">
      <alignment vertical="top"/>
    </xf>
    <xf numFmtId="0" fontId="61" fillId="12" borderId="37" xfId="0" applyFont="1" applyFill="1" applyBorder="1" applyAlignment="1">
      <alignment vertical="top"/>
    </xf>
    <xf numFmtId="0" fontId="54" fillId="22" borderId="19" xfId="0" applyFont="1" applyFill="1" applyBorder="1"/>
    <xf numFmtId="0" fontId="54" fillId="23" borderId="29" xfId="0" applyFont="1" applyFill="1" applyBorder="1"/>
    <xf numFmtId="0" fontId="54" fillId="24" borderId="29" xfId="0" applyFont="1" applyFill="1" applyBorder="1"/>
    <xf numFmtId="0" fontId="54" fillId="22" borderId="23" xfId="0" applyFont="1" applyFill="1" applyBorder="1"/>
    <xf numFmtId="0" fontId="64" fillId="4" borderId="10" xfId="0" applyFont="1" applyFill="1" applyBorder="1" applyAlignment="1">
      <alignment horizontal="center" vertical="center" wrapText="1"/>
    </xf>
    <xf numFmtId="0" fontId="60" fillId="4" borderId="10" xfId="0" applyFont="1" applyFill="1" applyBorder="1" applyAlignment="1">
      <alignment horizontal="center" vertical="center" wrapText="1"/>
    </xf>
    <xf numFmtId="0" fontId="63" fillId="4" borderId="10" xfId="0" applyFont="1" applyFill="1" applyBorder="1" applyAlignment="1">
      <alignment horizontal="center" vertical="center" wrapText="1"/>
    </xf>
    <xf numFmtId="0" fontId="63" fillId="5" borderId="10" xfId="0" applyFont="1" applyFill="1" applyBorder="1" applyAlignment="1">
      <alignment horizontal="center" vertical="center" wrapText="1"/>
    </xf>
    <xf numFmtId="0" fontId="63" fillId="5" borderId="10" xfId="0" applyFont="1" applyFill="1" applyBorder="1" applyAlignment="1">
      <alignment horizontal="center" vertical="center"/>
    </xf>
    <xf numFmtId="0" fontId="13" fillId="6" borderId="17" xfId="0" applyFont="1" applyFill="1" applyBorder="1" applyAlignment="1">
      <alignment horizontal="center" vertical="center" wrapText="1"/>
    </xf>
    <xf numFmtId="0" fontId="63" fillId="17" borderId="10" xfId="0" applyFont="1" applyFill="1" applyBorder="1" applyAlignment="1">
      <alignment horizontal="center" vertical="center" wrapText="1"/>
    </xf>
    <xf numFmtId="0" fontId="13" fillId="7" borderId="10" xfId="0" applyFont="1" applyFill="1" applyBorder="1" applyAlignment="1">
      <alignment horizontal="center" vertical="center" wrapText="1"/>
    </xf>
    <xf numFmtId="0" fontId="61" fillId="0" borderId="10" xfId="0" applyFont="1" applyBorder="1"/>
    <xf numFmtId="0" fontId="61" fillId="4" borderId="9" xfId="0" applyFont="1" applyFill="1" applyBorder="1" applyAlignment="1">
      <alignment horizontal="center" vertical="top"/>
    </xf>
    <xf numFmtId="0" fontId="61" fillId="7" borderId="1" xfId="0" applyFont="1" applyFill="1" applyBorder="1" applyAlignment="1">
      <alignment horizontal="center" vertical="top" wrapText="1"/>
    </xf>
    <xf numFmtId="0" fontId="54" fillId="14" borderId="9" xfId="0" applyFont="1" applyFill="1" applyBorder="1"/>
    <xf numFmtId="0" fontId="61" fillId="7" borderId="1" xfId="0" applyFont="1" applyFill="1" applyBorder="1" applyAlignment="1">
      <alignment horizontal="center" vertical="center" wrapText="1"/>
    </xf>
    <xf numFmtId="0" fontId="54" fillId="14" borderId="1" xfId="0" applyFont="1" applyFill="1" applyBorder="1"/>
    <xf numFmtId="0" fontId="61" fillId="5" borderId="1" xfId="0" applyFont="1" applyFill="1" applyBorder="1" applyAlignment="1">
      <alignment horizontal="left" vertical="top" wrapText="1"/>
    </xf>
    <xf numFmtId="0" fontId="61" fillId="6" borderId="38" xfId="0" applyFont="1" applyFill="1" applyBorder="1" applyAlignment="1">
      <alignment horizontal="left" vertical="top"/>
    </xf>
    <xf numFmtId="0" fontId="61" fillId="2" borderId="1" xfId="0" applyFont="1" applyFill="1" applyBorder="1" applyAlignment="1">
      <alignment horizontal="left" vertical="center"/>
    </xf>
    <xf numFmtId="0" fontId="61" fillId="5" borderId="1" xfId="0" applyFont="1" applyFill="1" applyBorder="1" applyAlignment="1">
      <alignment horizontal="left"/>
    </xf>
    <xf numFmtId="0" fontId="61" fillId="2" borderId="1" xfId="0" applyFont="1" applyFill="1" applyBorder="1" applyAlignment="1">
      <alignment horizontal="left"/>
    </xf>
    <xf numFmtId="0" fontId="61" fillId="6" borderId="1" xfId="0" applyFont="1" applyFill="1" applyBorder="1" applyAlignment="1">
      <alignment horizontal="left"/>
    </xf>
    <xf numFmtId="6" fontId="61" fillId="2" borderId="1" xfId="0" applyNumberFormat="1" applyFont="1" applyFill="1" applyBorder="1" applyAlignment="1">
      <alignment horizontal="left"/>
    </xf>
    <xf numFmtId="0" fontId="63" fillId="3" borderId="25" xfId="0" applyFont="1" applyFill="1" applyBorder="1" applyAlignment="1">
      <alignment horizontal="center" vertical="center" wrapText="1"/>
    </xf>
    <xf numFmtId="0" fontId="30" fillId="2" borderId="10" xfId="0" applyFont="1" applyFill="1" applyBorder="1" applyAlignment="1">
      <alignment horizontal="center" vertical="center" wrapText="1"/>
    </xf>
    <xf numFmtId="0" fontId="13" fillId="10" borderId="10" xfId="0" applyFont="1" applyFill="1" applyBorder="1" applyAlignment="1">
      <alignment horizontal="center" vertical="center" wrapText="1"/>
    </xf>
    <xf numFmtId="0" fontId="61" fillId="0" borderId="31" xfId="0" applyFont="1" applyBorder="1"/>
    <xf numFmtId="0" fontId="61" fillId="4" borderId="9" xfId="0" applyFont="1" applyFill="1" applyBorder="1" applyAlignment="1">
      <alignment horizontal="left" wrapText="1"/>
    </xf>
    <xf numFmtId="0" fontId="61" fillId="5" borderId="9" xfId="0" applyFont="1" applyFill="1" applyBorder="1" applyAlignment="1">
      <alignment wrapText="1"/>
    </xf>
    <xf numFmtId="0" fontId="61" fillId="2" borderId="9" xfId="0" applyFont="1" applyFill="1" applyBorder="1" applyAlignment="1">
      <alignment horizontal="left"/>
    </xf>
    <xf numFmtId="0" fontId="61" fillId="10" borderId="9" xfId="0" applyFont="1" applyFill="1" applyBorder="1"/>
    <xf numFmtId="0" fontId="61" fillId="8" borderId="29" xfId="0" applyFont="1" applyFill="1" applyBorder="1"/>
    <xf numFmtId="0" fontId="61" fillId="10" borderId="1" xfId="0" applyFont="1" applyFill="1" applyBorder="1"/>
    <xf numFmtId="0" fontId="61" fillId="8" borderId="30" xfId="0" applyFont="1" applyFill="1" applyBorder="1"/>
    <xf numFmtId="0" fontId="52" fillId="4" borderId="26" xfId="0" applyFont="1" applyFill="1" applyBorder="1" applyAlignment="1">
      <alignment horizontal="left" vertical="center"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68" fillId="20" borderId="0" xfId="0" applyFont="1" applyFill="1"/>
    <xf numFmtId="16" fontId="0" fillId="0" borderId="0" xfId="0" applyNumberFormat="1" applyAlignment="1">
      <alignment horizontal="right"/>
    </xf>
    <xf numFmtId="0" fontId="68" fillId="26" borderId="0" xfId="0" applyFont="1" applyFill="1"/>
    <xf numFmtId="165" fontId="0" fillId="0" borderId="0" xfId="0" applyNumberFormat="1"/>
    <xf numFmtId="0" fontId="61" fillId="4" borderId="1" xfId="0" quotePrefix="1" applyFont="1" applyFill="1" applyBorder="1" applyAlignment="1">
      <alignment horizontal="left" vertical="center" wrapText="1"/>
    </xf>
    <xf numFmtId="0" fontId="52" fillId="25" borderId="27" xfId="0" applyFont="1" applyFill="1" applyBorder="1" applyAlignment="1">
      <alignment horizontal="left" vertical="center" wrapText="1"/>
    </xf>
    <xf numFmtId="0" fontId="16" fillId="5" borderId="14"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26" fillId="16" borderId="10" xfId="0" applyFont="1" applyFill="1" applyBorder="1" applyAlignment="1">
      <alignment horizontal="center" vertical="center" wrapText="1"/>
    </xf>
    <xf numFmtId="0" fontId="23" fillId="16" borderId="10" xfId="0" applyFont="1" applyFill="1" applyBorder="1" applyAlignment="1">
      <alignment horizontal="center" vertical="center" wrapText="1"/>
    </xf>
    <xf numFmtId="0" fontId="23" fillId="19" borderId="27" xfId="0" applyFont="1" applyFill="1" applyBorder="1" applyAlignment="1">
      <alignment wrapText="1"/>
    </xf>
    <xf numFmtId="0" fontId="46" fillId="3" borderId="26" xfId="0" applyFont="1" applyFill="1" applyBorder="1" applyAlignment="1">
      <alignment horizontal="left" vertical="center" wrapText="1"/>
    </xf>
    <xf numFmtId="0" fontId="9" fillId="3" borderId="7" xfId="0" applyFont="1" applyFill="1" applyBorder="1" applyAlignment="1">
      <alignment horizontal="left" vertical="center" wrapText="1"/>
    </xf>
    <xf numFmtId="0" fontId="9" fillId="3" borderId="14" xfId="0" applyFont="1" applyFill="1" applyBorder="1" applyAlignment="1">
      <alignment horizontal="left" vertical="center" wrapText="1"/>
    </xf>
    <xf numFmtId="0" fontId="10" fillId="3" borderId="24" xfId="0" applyFont="1" applyFill="1" applyBorder="1" applyAlignment="1">
      <alignment horizontal="center" vertical="center" textRotation="90" wrapText="1"/>
    </xf>
    <xf numFmtId="0" fontId="10" fillId="3" borderId="6" xfId="0" applyFont="1" applyFill="1" applyBorder="1" applyAlignment="1">
      <alignment horizontal="center" vertical="center" textRotation="90" wrapText="1"/>
    </xf>
    <xf numFmtId="0" fontId="10" fillId="3" borderId="12" xfId="0" applyFont="1" applyFill="1" applyBorder="1" applyAlignment="1">
      <alignment horizontal="center" vertical="center" textRotation="90" wrapText="1"/>
    </xf>
    <xf numFmtId="0" fontId="22" fillId="15" borderId="0" xfId="0" applyFont="1" applyFill="1" applyAlignment="1">
      <alignment horizontal="center" vertical="center"/>
    </xf>
    <xf numFmtId="0" fontId="22" fillId="18" borderId="41" xfId="0" applyFont="1" applyFill="1" applyBorder="1" applyAlignment="1">
      <alignment horizontal="center" vertical="center"/>
    </xf>
    <xf numFmtId="0" fontId="38" fillId="5" borderId="3" xfId="0" applyFont="1" applyFill="1" applyBorder="1" applyAlignment="1">
      <alignment horizontal="center" vertical="center" wrapText="1"/>
    </xf>
    <xf numFmtId="0" fontId="38" fillId="5" borderId="4" xfId="0" applyFont="1" applyFill="1" applyBorder="1" applyAlignment="1">
      <alignment horizontal="center" vertical="center" wrapText="1"/>
    </xf>
    <xf numFmtId="0" fontId="38" fillId="5"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54" fillId="14" borderId="29" xfId="0" applyFont="1" applyFill="1" applyBorder="1" applyAlignment="1">
      <alignment wrapText="1"/>
    </xf>
    <xf numFmtId="17" fontId="54" fillId="14" borderId="9" xfId="0" applyNumberFormat="1" applyFont="1" applyFill="1" applyBorder="1"/>
    <xf numFmtId="172" fontId="54" fillId="14" borderId="9" xfId="0" applyNumberFormat="1" applyFont="1" applyFill="1" applyBorder="1"/>
    <xf numFmtId="17" fontId="61" fillId="5" borderId="1" xfId="0" applyNumberFormat="1" applyFont="1" applyFill="1" applyBorder="1" applyAlignment="1">
      <alignment horizontal="left"/>
    </xf>
    <xf numFmtId="0" fontId="61" fillId="8" borderId="30" xfId="0" applyFont="1" applyFill="1" applyBorder="1" applyAlignment="1">
      <alignment wrapText="1"/>
    </xf>
    <xf numFmtId="0" fontId="61" fillId="2" borderId="1" xfId="0" applyFont="1" applyFill="1" applyBorder="1" applyAlignment="1">
      <alignment horizontal="left" wrapText="1"/>
    </xf>
    <xf numFmtId="1" fontId="54" fillId="14" borderId="9" xfId="0" applyNumberFormat="1" applyFont="1" applyFill="1" applyBorder="1"/>
    <xf numFmtId="0" fontId="61" fillId="2" borderId="1" xfId="0" applyFont="1" applyFill="1" applyBorder="1" applyAlignment="1">
      <alignment wrapText="1"/>
    </xf>
    <xf numFmtId="0" fontId="5" fillId="8" borderId="30" xfId="0" applyFont="1" applyFill="1" applyBorder="1" applyAlignment="1">
      <alignment wrapText="1"/>
    </xf>
    <xf numFmtId="172" fontId="54" fillId="14" borderId="1" xfId="0" applyNumberFormat="1" applyFont="1" applyFill="1" applyBorder="1" applyAlignment="1">
      <alignment horizontal="center" vertical="center"/>
    </xf>
    <xf numFmtId="17" fontId="61" fillId="5" borderId="1" xfId="0" applyNumberFormat="1" applyFont="1" applyFill="1" applyBorder="1"/>
    <xf numFmtId="0" fontId="61" fillId="7" borderId="1" xfId="0" applyFont="1" applyFill="1" applyBorder="1" applyAlignment="1">
      <alignment wrapText="1"/>
    </xf>
    <xf numFmtId="0" fontId="11" fillId="5" borderId="9" xfId="0" applyFont="1" applyFill="1" applyBorder="1" applyAlignment="1">
      <alignment wrapText="1"/>
    </xf>
  </cellXfs>
  <cellStyles count="3">
    <cellStyle name="Currency" xfId="1" builtinId="4"/>
    <cellStyle name="Hyperlink" xfId="2" builtinId="8"/>
    <cellStyle name="Normal" xfId="0" builtinId="0"/>
  </cellStyles>
  <dxfs count="0"/>
  <tableStyles count="0" defaultTableStyle="TableStyleMedium2" defaultPivotStyle="PivotStyleLight16"/>
  <colors>
    <mruColors>
      <color rgb="FFFFC9C9"/>
      <color rgb="FFE8D1FF"/>
      <color rgb="FFFF9F9F"/>
      <color rgb="FFFAF8A0"/>
      <color rgb="FFF8EEA0"/>
      <color rgb="FFF3F0FE"/>
      <color rgb="FFCABDFB"/>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Szabo, Zoltan" id="{984CF040-DCF5-457B-AB56-59D8F3481C35}" userId="S::zszabo@usgs.gov::321ab173-18e1-40fc-bcc4-ab81dd829388" providerId="AD"/>
  <person displayName="Williamson, Tanja N" id="{EA84A239-7AE7-4451-9043-717E1C9505EF}" userId="S::tnwillia@usgs.gov::9ae83d72-56b6-46cb-82e2-e12d4edcfba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3-01-17T23:04:39.47" personId="{984CF040-DCF5-457B-AB56-59D8F3481C35}" id="{C4DE3950-5D55-4E49-AB5F-DC28E4CB0472}">
    <text>Must use same keyword list as in the Project Overview</text>
  </threadedComment>
  <threadedComment ref="E2" dT="2023-02-02T00:34:47.21" personId="{984CF040-DCF5-457B-AB56-59D8F3481C35}" id="{9A3983AB-9140-4655-B701-DE9405BA4F36}" parentId="{C4DE3950-5D55-4E49-AB5F-DC28E4CB0472}">
    <text>Updated list</text>
  </threadedComment>
  <threadedComment ref="G2" dT="2023-01-24T13:46:53.81" personId="{984CF040-DCF5-457B-AB56-59D8F3481C35}" id="{8BB80868-1981-4C15-8046-90F040918033}">
    <text>Must use same as list in Project Overview</text>
  </threadedComment>
  <threadedComment ref="H2" dT="2023-01-24T13:48:01.51" personId="{984CF040-DCF5-457B-AB56-59D8F3481C35}" id="{5885B2E6-B868-46E0-8053-6D7D656A292B}">
    <text>Must use same list as in Project Overview</text>
  </threadedComment>
</ThreadedComments>
</file>

<file path=xl/threadedComments/threadedComment2.xml><?xml version="1.0" encoding="utf-8"?>
<ThreadedComments xmlns="http://schemas.microsoft.com/office/spreadsheetml/2018/threadedcomments" xmlns:x="http://schemas.openxmlformats.org/spreadsheetml/2006/main">
  <threadedComment ref="B1" dT="2023-01-28T21:44:20.20" personId="{EA84A239-7AE7-4451-9043-717E1C9505EF}" id="{312A8685-D754-4158-BB9F-E994BB6EBCA2}">
    <text>update to be journal article, report, dataset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8" Type="http://schemas.openxmlformats.org/officeDocument/2006/relationships/hyperlink" Target="https://doi.org/10.1007/s10661-019-7365-8" TargetMode="External"/><Relationship Id="rId3" Type="http://schemas.openxmlformats.org/officeDocument/2006/relationships/hyperlink" Target="https://doi.org/10.1061/(ASCE)HY.1943-7900.0001619" TargetMode="External"/><Relationship Id="rId7" Type="http://schemas.openxmlformats.org/officeDocument/2006/relationships/hyperlink" Target="https://doi.org/https:/doi.org/10.1016/j.envpol.2018.06.065" TargetMode="External"/><Relationship Id="rId12" Type="http://schemas.microsoft.com/office/2017/10/relationships/threadedComment" Target="../threadedComments/threadedComment2.xml"/><Relationship Id="rId2" Type="http://schemas.openxmlformats.org/officeDocument/2006/relationships/hyperlink" Target="https://doi.org/10.1111/gcbb.12385" TargetMode="External"/><Relationship Id="rId1" Type="http://schemas.openxmlformats.org/officeDocument/2006/relationships/hyperlink" Target="https://doi.org/10.3390/w11081688" TargetMode="External"/><Relationship Id="rId6" Type="http://schemas.openxmlformats.org/officeDocument/2006/relationships/hyperlink" Target="https://doi.org/https:/doi.org/10.1016/j.envpol.2019.07.099" TargetMode="External"/><Relationship Id="rId11" Type="http://schemas.openxmlformats.org/officeDocument/2006/relationships/comments" Target="../comments3.xml"/><Relationship Id="rId5" Type="http://schemas.openxmlformats.org/officeDocument/2006/relationships/hyperlink" Target="https://doi.org/10.1021/acs.est.5b05753" TargetMode="External"/><Relationship Id="rId10" Type="http://schemas.openxmlformats.org/officeDocument/2006/relationships/vmlDrawing" Target="../drawings/vmlDrawing3.vml"/><Relationship Id="rId4" Type="http://schemas.openxmlformats.org/officeDocument/2006/relationships/hyperlink" Target="https://doi.org/10.1061/JSWBAY.0000875" TargetMode="External"/><Relationship Id="rId9"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hyperlink" Target="https://hdl.handle.net/2142/101109" TargetMode="External"/><Relationship Id="rId2" Type="http://schemas.openxmlformats.org/officeDocument/2006/relationships/hyperlink" Target="https://hdl.handle.net/2142/101669" TargetMode="External"/><Relationship Id="rId1" Type="http://schemas.openxmlformats.org/officeDocument/2006/relationships/hyperlink" Target="https://doi.org/10.1061/9780784481400.038" TargetMode="External"/><Relationship Id="rId6" Type="http://schemas.openxmlformats.org/officeDocument/2006/relationships/printerSettings" Target="../printerSettings/printerSettings9.bin"/><Relationship Id="rId5" Type="http://schemas.openxmlformats.org/officeDocument/2006/relationships/hyperlink" Target="https://hdl.handle.net/2142/104806" TargetMode="External"/><Relationship Id="rId4" Type="http://schemas.openxmlformats.org/officeDocument/2006/relationships/hyperlink" Target="https://hdl.handle.net/2142/109459"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2C02-114D-4751-B7BE-751C0A99BD3A}">
  <sheetPr>
    <tabColor rgb="FF00B050"/>
    <pageSetUpPr fitToPage="1"/>
  </sheetPr>
  <dimension ref="A1:BH421"/>
  <sheetViews>
    <sheetView tabSelected="1" topLeftCell="A5" zoomScale="80" zoomScaleNormal="80" workbookViewId="0">
      <selection activeCell="B24" sqref="B24"/>
    </sheetView>
  </sheetViews>
  <sheetFormatPr defaultColWidth="9.140625" defaultRowHeight="15" x14ac:dyDescent="0.25"/>
  <cols>
    <col min="1" max="1" width="16.140625" style="3" customWidth="1"/>
    <col min="2" max="2" width="185" style="32" customWidth="1"/>
    <col min="61" max="16384" width="9.140625" style="3"/>
  </cols>
  <sheetData>
    <row r="1" spans="1:60" s="30" customFormat="1" ht="15" customHeight="1" x14ac:dyDescent="0.25">
      <c r="A1" s="364" t="s">
        <v>0</v>
      </c>
      <c r="B1" s="361" t="s">
        <v>1</v>
      </c>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row>
    <row r="2" spans="1:60" x14ac:dyDescent="0.25">
      <c r="A2" s="365"/>
      <c r="B2" s="362"/>
    </row>
    <row r="3" spans="1:60" s="31" customFormat="1" ht="122.25" customHeight="1" thickBot="1" x14ac:dyDescent="0.3">
      <c r="A3" s="366"/>
      <c r="B3" s="363"/>
      <c r="C3"/>
      <c r="D3"/>
      <c r="E3" t="s">
        <v>2</v>
      </c>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row>
    <row r="4" spans="1:60" s="30" customFormat="1" ht="379.5" customHeight="1" thickBot="1" x14ac:dyDescent="0.3">
      <c r="A4" s="44" t="s">
        <v>3</v>
      </c>
      <c r="B4" s="346" t="s">
        <v>4</v>
      </c>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row>
    <row r="5" spans="1:60" s="33" customFormat="1" ht="183" customHeight="1" thickBot="1" x14ac:dyDescent="0.3">
      <c r="A5" s="164" t="s">
        <v>5</v>
      </c>
      <c r="B5" s="165" t="s">
        <v>6</v>
      </c>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row>
    <row r="6" spans="1:60" s="33" customFormat="1" ht="228" customHeight="1" thickBot="1" x14ac:dyDescent="0.3">
      <c r="A6" s="166" t="s">
        <v>7</v>
      </c>
      <c r="B6" s="355" t="s">
        <v>8</v>
      </c>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row>
    <row r="7" spans="1:60" customFormat="1" ht="78.75" customHeight="1" thickBot="1" x14ac:dyDescent="0.4">
      <c r="A7" s="167" t="s">
        <v>9</v>
      </c>
      <c r="B7" s="168" t="s">
        <v>10</v>
      </c>
      <c r="C7" s="169"/>
    </row>
    <row r="8" spans="1:60" customFormat="1" x14ac:dyDescent="0.25"/>
    <row r="9" spans="1:60" customFormat="1" x14ac:dyDescent="0.25"/>
    <row r="10" spans="1:60" customFormat="1" x14ac:dyDescent="0.25"/>
    <row r="11" spans="1:60" customFormat="1" x14ac:dyDescent="0.25">
      <c r="B11" t="s">
        <v>2</v>
      </c>
    </row>
    <row r="12" spans="1:60" customFormat="1" x14ac:dyDescent="0.25"/>
    <row r="13" spans="1:60" customFormat="1" x14ac:dyDescent="0.25"/>
    <row r="14" spans="1:60" customFormat="1" x14ac:dyDescent="0.25"/>
    <row r="15" spans="1:60" customFormat="1" x14ac:dyDescent="0.25"/>
    <row r="16" spans="1:60" customFormat="1" x14ac:dyDescent="0.25"/>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row r="359" customFormat="1" x14ac:dyDescent="0.25"/>
    <row r="360" customFormat="1" x14ac:dyDescent="0.25"/>
    <row r="361" customFormat="1" x14ac:dyDescent="0.25"/>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sheetData>
  <mergeCells count="2">
    <mergeCell ref="B1:B3"/>
    <mergeCell ref="A1:A3"/>
  </mergeCells>
  <pageMargins left="0.7" right="0.7" top="0.75" bottom="0.75" header="0.3" footer="0.3"/>
  <pageSetup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7CE94-42B8-440A-A5D9-F4FCC21C59AE}">
  <sheetPr>
    <tabColor rgb="FF7030A0"/>
  </sheetPr>
  <dimension ref="A1:H60"/>
  <sheetViews>
    <sheetView workbookViewId="0">
      <selection activeCell="G25" sqref="G25"/>
    </sheetView>
  </sheetViews>
  <sheetFormatPr defaultRowHeight="15" x14ac:dyDescent="0.25"/>
  <cols>
    <col min="1" max="1" width="55.85546875" style="1" customWidth="1"/>
    <col min="2" max="2" width="36.42578125" bestFit="1" customWidth="1"/>
    <col min="3" max="7" width="16.28515625" style="98" customWidth="1"/>
    <col min="8" max="8" width="65.5703125" style="98" bestFit="1" customWidth="1"/>
  </cols>
  <sheetData>
    <row r="1" spans="1:8" ht="18.75" x14ac:dyDescent="0.3">
      <c r="A1" s="97" t="s">
        <v>11</v>
      </c>
    </row>
    <row r="2" spans="1:8" x14ac:dyDescent="0.25">
      <c r="B2" s="1" t="s">
        <v>12</v>
      </c>
      <c r="C2" s="350"/>
    </row>
    <row r="3" spans="1:8" ht="15.75" x14ac:dyDescent="0.25">
      <c r="A3" s="95" t="s">
        <v>13</v>
      </c>
      <c r="B3" t="s">
        <v>14</v>
      </c>
    </row>
    <row r="4" spans="1:8" ht="15.75" x14ac:dyDescent="0.25">
      <c r="A4" s="110" t="s">
        <v>15</v>
      </c>
      <c r="B4" t="s">
        <v>16</v>
      </c>
    </row>
    <row r="5" spans="1:8" ht="15.75" x14ac:dyDescent="0.25">
      <c r="A5" s="110" t="s">
        <v>17</v>
      </c>
      <c r="B5" t="s">
        <v>18</v>
      </c>
      <c r="C5" s="350"/>
    </row>
    <row r="6" spans="1:8" ht="15.75" x14ac:dyDescent="0.25">
      <c r="A6" s="110" t="s">
        <v>19</v>
      </c>
      <c r="B6" t="s">
        <v>20</v>
      </c>
    </row>
    <row r="7" spans="1:8" ht="15.75" x14ac:dyDescent="0.25">
      <c r="A7" s="110" t="s">
        <v>21</v>
      </c>
      <c r="B7">
        <v>1</v>
      </c>
      <c r="C7" s="350"/>
    </row>
    <row r="8" spans="1:8" ht="15.75" x14ac:dyDescent="0.25">
      <c r="A8" s="110" t="s">
        <v>22</v>
      </c>
      <c r="B8">
        <v>3</v>
      </c>
      <c r="C8" s="350"/>
    </row>
    <row r="9" spans="1:8" ht="15.75" x14ac:dyDescent="0.25">
      <c r="A9" s="110" t="s">
        <v>23</v>
      </c>
      <c r="B9" t="s">
        <v>24</v>
      </c>
    </row>
    <row r="10" spans="1:8" ht="15.75" x14ac:dyDescent="0.25">
      <c r="A10" s="111" t="s">
        <v>25</v>
      </c>
      <c r="B10" s="123" t="s">
        <v>26</v>
      </c>
    </row>
    <row r="11" spans="1:8" ht="15.75" x14ac:dyDescent="0.25">
      <c r="A11" s="112" t="s">
        <v>27</v>
      </c>
      <c r="B11" s="123" t="s">
        <v>28</v>
      </c>
    </row>
    <row r="12" spans="1:8" ht="47.25" x14ac:dyDescent="0.25">
      <c r="A12" s="113" t="s">
        <v>29</v>
      </c>
      <c r="B12" s="123" t="s">
        <v>26</v>
      </c>
    </row>
    <row r="13" spans="1:8" ht="30.75" customHeight="1" x14ac:dyDescent="0.25">
      <c r="A13" s="147" t="s">
        <v>30</v>
      </c>
      <c r="B13" s="123" t="s">
        <v>20</v>
      </c>
    </row>
    <row r="14" spans="1:8" ht="16.5" thickBot="1" x14ac:dyDescent="0.3">
      <c r="A14" s="114"/>
      <c r="C14" s="350"/>
      <c r="D14" s="350"/>
      <c r="E14" s="350"/>
      <c r="F14" s="350"/>
      <c r="G14" s="350"/>
    </row>
    <row r="15" spans="1:8" s="86" customFormat="1" ht="32.25" thickBot="1" x14ac:dyDescent="0.3">
      <c r="A15" s="115" t="s">
        <v>31</v>
      </c>
      <c r="B15" s="161" t="s">
        <v>32</v>
      </c>
      <c r="C15" s="149" t="s">
        <v>33</v>
      </c>
      <c r="D15" s="149" t="s">
        <v>34</v>
      </c>
      <c r="E15" s="149" t="s">
        <v>35</v>
      </c>
      <c r="F15" s="149" t="s">
        <v>36</v>
      </c>
      <c r="G15" s="150" t="s">
        <v>37</v>
      </c>
      <c r="H15" s="99"/>
    </row>
    <row r="16" spans="1:8" ht="15.75" x14ac:dyDescent="0.25">
      <c r="A16" s="116" t="s">
        <v>17</v>
      </c>
      <c r="B16" s="156">
        <f>AVERAGE(C16:G16)</f>
        <v>8.6</v>
      </c>
      <c r="C16" s="148">
        <v>5</v>
      </c>
      <c r="D16" s="157">
        <v>0</v>
      </c>
      <c r="E16" s="157">
        <v>0</v>
      </c>
      <c r="F16" s="157">
        <v>0</v>
      </c>
      <c r="G16" s="158">
        <v>38</v>
      </c>
    </row>
    <row r="17" spans="1:8" ht="15.75" x14ac:dyDescent="0.25">
      <c r="A17" s="116" t="s">
        <v>38</v>
      </c>
      <c r="B17" s="151">
        <f>AVERAGE(C17:G17)</f>
        <v>13.2</v>
      </c>
      <c r="C17" s="159">
        <v>0</v>
      </c>
      <c r="D17" s="86">
        <v>0</v>
      </c>
      <c r="E17" s="86">
        <v>0</v>
      </c>
      <c r="F17" s="86">
        <v>33</v>
      </c>
      <c r="G17" s="152">
        <v>33</v>
      </c>
    </row>
    <row r="18" spans="1:8" ht="15.75" x14ac:dyDescent="0.25">
      <c r="A18" s="110" t="s">
        <v>39</v>
      </c>
      <c r="B18" s="151">
        <f>AVERAGE(C18:G18)</f>
        <v>32.266666666666666</v>
      </c>
      <c r="C18" s="159">
        <f>SUM(41+25+7)/3</f>
        <v>24.333333333333332</v>
      </c>
      <c r="D18" s="86">
        <f>SUM(12+20+8)</f>
        <v>40</v>
      </c>
      <c r="E18" s="86">
        <v>0</v>
      </c>
      <c r="F18" s="86">
        <v>47</v>
      </c>
      <c r="G18" s="152">
        <v>50</v>
      </c>
    </row>
    <row r="19" spans="1:8" ht="16.5" thickBot="1" x14ac:dyDescent="0.3">
      <c r="A19" s="116" t="s">
        <v>40</v>
      </c>
      <c r="B19" s="153">
        <f>AVERAGE(C19:G19)</f>
        <v>10</v>
      </c>
      <c r="C19" s="160">
        <v>25</v>
      </c>
      <c r="D19" s="154">
        <v>25</v>
      </c>
      <c r="E19" s="154">
        <v>0</v>
      </c>
      <c r="F19" s="154">
        <v>0</v>
      </c>
      <c r="G19" s="155">
        <v>0</v>
      </c>
    </row>
    <row r="20" spans="1:8" ht="15.75" x14ac:dyDescent="0.25">
      <c r="A20" s="88" t="s">
        <v>41</v>
      </c>
    </row>
    <row r="21" spans="1:8" ht="15.75" x14ac:dyDescent="0.25">
      <c r="A21" s="116" t="s">
        <v>17</v>
      </c>
      <c r="B21" t="s">
        <v>42</v>
      </c>
    </row>
    <row r="22" spans="1:8" ht="15.75" x14ac:dyDescent="0.25">
      <c r="A22" s="116" t="s">
        <v>38</v>
      </c>
      <c r="B22" t="s">
        <v>43</v>
      </c>
    </row>
    <row r="23" spans="1:8" ht="15.75" x14ac:dyDescent="0.25">
      <c r="A23" s="110" t="s">
        <v>39</v>
      </c>
      <c r="B23" t="s">
        <v>42</v>
      </c>
    </row>
    <row r="24" spans="1:8" ht="15.75" x14ac:dyDescent="0.25">
      <c r="A24" s="116" t="s">
        <v>40</v>
      </c>
      <c r="B24" t="s">
        <v>20</v>
      </c>
    </row>
    <row r="25" spans="1:8" ht="16.5" thickBot="1" x14ac:dyDescent="0.3">
      <c r="A25" s="116"/>
      <c r="C25" s="350"/>
      <c r="D25" s="350"/>
      <c r="E25" s="350"/>
      <c r="F25" s="350"/>
      <c r="G25" s="350"/>
    </row>
    <row r="26" spans="1:8" ht="15.75" x14ac:dyDescent="0.25">
      <c r="A26" s="116" t="s">
        <v>44</v>
      </c>
      <c r="B26" s="123" t="s">
        <v>28</v>
      </c>
      <c r="C26" s="161" t="s">
        <v>33</v>
      </c>
      <c r="D26" s="149" t="s">
        <v>34</v>
      </c>
      <c r="E26" s="149" t="s">
        <v>35</v>
      </c>
      <c r="F26" s="149" t="s">
        <v>36</v>
      </c>
      <c r="G26" s="150" t="s">
        <v>37</v>
      </c>
    </row>
    <row r="27" spans="1:8" ht="16.5" thickBot="1" x14ac:dyDescent="0.3">
      <c r="A27" s="116" t="s">
        <v>45</v>
      </c>
      <c r="B27" t="s">
        <v>46</v>
      </c>
      <c r="C27" s="160">
        <v>10000</v>
      </c>
      <c r="D27" s="154">
        <v>10000</v>
      </c>
      <c r="E27" s="154">
        <v>10000</v>
      </c>
      <c r="F27" s="154">
        <v>10000</v>
      </c>
      <c r="G27" s="155">
        <v>10000</v>
      </c>
    </row>
    <row r="28" spans="1:8" ht="16.5" thickBot="1" x14ac:dyDescent="0.3">
      <c r="A28" s="116"/>
      <c r="C28" s="98" t="s">
        <v>47</v>
      </c>
    </row>
    <row r="29" spans="1:8" ht="16.5" thickBot="1" x14ac:dyDescent="0.3">
      <c r="A29" s="117" t="s">
        <v>48</v>
      </c>
      <c r="C29" s="172" t="s">
        <v>33</v>
      </c>
      <c r="D29" s="173" t="s">
        <v>34</v>
      </c>
      <c r="E29" s="173" t="s">
        <v>35</v>
      </c>
      <c r="F29" s="173" t="s">
        <v>36</v>
      </c>
      <c r="G29" s="174" t="s">
        <v>37</v>
      </c>
    </row>
    <row r="30" spans="1:8" ht="15.75" x14ac:dyDescent="0.25">
      <c r="A30" s="118" t="s">
        <v>49</v>
      </c>
      <c r="B30" s="245" t="s">
        <v>50</v>
      </c>
      <c r="C30" s="170" t="s">
        <v>51</v>
      </c>
      <c r="D30" s="123" t="s">
        <v>51</v>
      </c>
      <c r="E30" s="123" t="s">
        <v>51</v>
      </c>
      <c r="F30" s="123" t="s">
        <v>51</v>
      </c>
      <c r="G30" s="171" t="s">
        <v>51</v>
      </c>
    </row>
    <row r="31" spans="1:8" s="86" customFormat="1" ht="15.75" x14ac:dyDescent="0.25">
      <c r="A31" s="118" t="s">
        <v>52</v>
      </c>
      <c r="B31" s="245" t="s">
        <v>53</v>
      </c>
      <c r="C31" s="170" t="s">
        <v>51</v>
      </c>
      <c r="D31" s="123" t="s">
        <v>51</v>
      </c>
      <c r="E31" s="123" t="s">
        <v>51</v>
      </c>
      <c r="F31" s="123" t="s">
        <v>51</v>
      </c>
      <c r="G31" s="171" t="s">
        <v>51</v>
      </c>
      <c r="H31" s="99"/>
    </row>
    <row r="32" spans="1:8" ht="15.75" x14ac:dyDescent="0.25">
      <c r="A32" s="118" t="s">
        <v>54</v>
      </c>
      <c r="B32" s="123" t="s">
        <v>26</v>
      </c>
      <c r="C32" s="170" t="s">
        <v>55</v>
      </c>
      <c r="D32" s="123" t="s">
        <v>55</v>
      </c>
      <c r="E32" s="123" t="s">
        <v>55</v>
      </c>
      <c r="F32" s="123" t="s">
        <v>55</v>
      </c>
      <c r="G32" s="171" t="s">
        <v>55</v>
      </c>
    </row>
    <row r="33" spans="1:7" ht="15.75" x14ac:dyDescent="0.25">
      <c r="A33" s="119" t="s">
        <v>56</v>
      </c>
      <c r="B33" s="123" t="s">
        <v>57</v>
      </c>
      <c r="C33" s="170" t="s">
        <v>58</v>
      </c>
      <c r="D33" s="123" t="s">
        <v>58</v>
      </c>
      <c r="E33" s="123" t="s">
        <v>58</v>
      </c>
      <c r="F33" s="123" t="s">
        <v>58</v>
      </c>
      <c r="G33" s="171" t="s">
        <v>58</v>
      </c>
    </row>
    <row r="34" spans="1:7" ht="15.75" x14ac:dyDescent="0.25">
      <c r="A34" s="120" t="s">
        <v>59</v>
      </c>
      <c r="B34" s="123" t="s">
        <v>60</v>
      </c>
      <c r="C34" s="170" t="s">
        <v>51</v>
      </c>
      <c r="D34" s="123" t="s">
        <v>51</v>
      </c>
      <c r="E34" s="123" t="s">
        <v>51</v>
      </c>
      <c r="F34" s="123" t="s">
        <v>51</v>
      </c>
      <c r="G34" s="171" t="s">
        <v>51</v>
      </c>
    </row>
    <row r="35" spans="1:7" ht="30" x14ac:dyDescent="0.25">
      <c r="A35" s="109" t="s">
        <v>61</v>
      </c>
      <c r="B35" s="123" t="s">
        <v>26</v>
      </c>
      <c r="C35" s="170" t="s">
        <v>55</v>
      </c>
      <c r="D35" s="123" t="s">
        <v>55</v>
      </c>
      <c r="E35" s="123" t="s">
        <v>55</v>
      </c>
      <c r="F35" s="123" t="s">
        <v>55</v>
      </c>
      <c r="G35" s="171" t="s">
        <v>55</v>
      </c>
    </row>
    <row r="36" spans="1:7" ht="16.5" thickBot="1" x14ac:dyDescent="0.3">
      <c r="A36" s="121" t="s">
        <v>62</v>
      </c>
      <c r="C36" s="160"/>
      <c r="D36" s="154"/>
      <c r="E36" s="154"/>
      <c r="F36" s="154"/>
      <c r="G36" s="155"/>
    </row>
    <row r="37" spans="1:7" ht="15.75" x14ac:dyDescent="0.25">
      <c r="A37" s="116"/>
    </row>
    <row r="38" spans="1:7" ht="15.75" x14ac:dyDescent="0.25">
      <c r="A38" s="122" t="s">
        <v>63</v>
      </c>
    </row>
    <row r="39" spans="1:7" ht="15.75" x14ac:dyDescent="0.25">
      <c r="A39" s="111" t="s">
        <v>64</v>
      </c>
      <c r="B39" s="123" t="s">
        <v>65</v>
      </c>
    </row>
    <row r="40" spans="1:7" ht="15.75" x14ac:dyDescent="0.25">
      <c r="A40" s="110" t="s">
        <v>66</v>
      </c>
      <c r="B40" s="181">
        <v>4</v>
      </c>
    </row>
    <row r="41" spans="1:7" ht="15.75" x14ac:dyDescent="0.25">
      <c r="A41" s="111" t="s">
        <v>67</v>
      </c>
      <c r="B41" s="123" t="s">
        <v>26</v>
      </c>
    </row>
    <row r="42" spans="1:7" ht="15.75" x14ac:dyDescent="0.25">
      <c r="A42" s="111" t="s">
        <v>68</v>
      </c>
      <c r="B42" s="123" t="s">
        <v>26</v>
      </c>
    </row>
    <row r="43" spans="1:7" ht="15.75" x14ac:dyDescent="0.25">
      <c r="A43" s="95" t="s">
        <v>69</v>
      </c>
      <c r="B43" s="123" t="s">
        <v>26</v>
      </c>
    </row>
    <row r="44" spans="1:7" ht="15.75" x14ac:dyDescent="0.25">
      <c r="A44" s="110" t="s">
        <v>70</v>
      </c>
      <c r="B44" s="123" t="s">
        <v>71</v>
      </c>
    </row>
    <row r="45" spans="1:7" x14ac:dyDescent="0.25">
      <c r="A45" s="108" t="s">
        <v>72</v>
      </c>
      <c r="B45" s="123" t="s">
        <v>20</v>
      </c>
    </row>
    <row r="46" spans="1:7" ht="15.75" x14ac:dyDescent="0.25">
      <c r="A46" s="89"/>
    </row>
    <row r="47" spans="1:7" ht="15.75" x14ac:dyDescent="0.25">
      <c r="A47" s="91"/>
    </row>
    <row r="48" spans="1:7" ht="15.75" x14ac:dyDescent="0.25">
      <c r="A48" s="89"/>
    </row>
    <row r="49" spans="1:1" ht="15.75" x14ac:dyDescent="0.25">
      <c r="A49" s="89"/>
    </row>
    <row r="50" spans="1:1" x14ac:dyDescent="0.25">
      <c r="A50" s="92"/>
    </row>
    <row r="51" spans="1:1" ht="15.75" x14ac:dyDescent="0.25">
      <c r="A51" s="93"/>
    </row>
    <row r="52" spans="1:1" ht="15.75" x14ac:dyDescent="0.25">
      <c r="A52" s="93"/>
    </row>
    <row r="53" spans="1:1" ht="15.75" x14ac:dyDescent="0.25">
      <c r="A53" s="93"/>
    </row>
    <row r="54" spans="1:1" ht="15.75" x14ac:dyDescent="0.25">
      <c r="A54" s="93"/>
    </row>
    <row r="55" spans="1:1" ht="15.75" x14ac:dyDescent="0.25">
      <c r="A55" s="93"/>
    </row>
    <row r="56" spans="1:1" ht="15.75" x14ac:dyDescent="0.25">
      <c r="A56" s="93"/>
    </row>
    <row r="57" spans="1:1" x14ac:dyDescent="0.25">
      <c r="A57" s="92"/>
    </row>
    <row r="58" spans="1:1" ht="15.75" x14ac:dyDescent="0.25">
      <c r="A58" s="89"/>
    </row>
    <row r="59" spans="1:1" ht="15.75" x14ac:dyDescent="0.25">
      <c r="A59" s="91"/>
    </row>
    <row r="60" spans="1:1" x14ac:dyDescent="0.25">
      <c r="A60" s="94"/>
    </row>
  </sheetData>
  <dataValidations count="4">
    <dataValidation type="list" allowBlank="1" showInputMessage="1" showErrorMessage="1" sqref="B32:G32 B35:G35 B10:B12 B41:B42 B26" xr:uid="{CE393E5A-BD08-4D59-A5D8-F4416C138542}">
      <formula1>"Yes, No"</formula1>
    </dataValidation>
    <dataValidation type="list" allowBlank="1" showInputMessage="1" showErrorMessage="1" sqref="B33:G33" xr:uid="{420CCB7B-A4A5-4226-B97A-A6FFEBB5A398}">
      <formula1>"Annual, Bi-annaul, 3 or more years"</formula1>
    </dataValidation>
    <dataValidation type="list" allowBlank="1" showInputMessage="1" showErrorMessage="1" sqref="B39" xr:uid="{EFA25CD5-378E-42D0-BBED-76EDD48EC06B}">
      <formula1>"Annual, semi-annual, quarterly, monthly, irregular"</formula1>
    </dataValidation>
    <dataValidation type="list" allowBlank="1" showInputMessage="1" showErrorMessage="1" sqref="B30:G31 B34:G34" xr:uid="{968C6DDB-6A43-464D-9773-19D425BD4DBA}">
      <formula1>"January, February, March, April, May, June, July, August, September, October, November, December"</formula1>
    </dataValidation>
  </dataValidation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D9473-EEB9-4D3C-A207-18022AB7C1D8}">
  <sheetPr>
    <tabColor rgb="FF7030A0"/>
  </sheetPr>
  <dimension ref="A2:F9"/>
  <sheetViews>
    <sheetView workbookViewId="0">
      <selection activeCell="E17" sqref="E17"/>
    </sheetView>
  </sheetViews>
  <sheetFormatPr defaultRowHeight="15" x14ac:dyDescent="0.25"/>
  <cols>
    <col min="1" max="1" width="32.7109375" customWidth="1"/>
    <col min="2" max="2" width="41" style="86" customWidth="1"/>
    <col min="3" max="3" width="11.140625" customWidth="1"/>
    <col min="4" max="4" width="11.7109375" customWidth="1"/>
    <col min="5" max="5" width="11.28515625" customWidth="1"/>
    <col min="6" max="6" width="45.5703125" customWidth="1"/>
  </cols>
  <sheetData>
    <row r="2" spans="1:6" s="90" customFormat="1" ht="45.75" x14ac:dyDescent="0.3">
      <c r="A2" s="96" t="s">
        <v>73</v>
      </c>
      <c r="B2" s="90" t="s">
        <v>74</v>
      </c>
      <c r="C2" s="90" t="s">
        <v>75</v>
      </c>
      <c r="D2" s="90" t="s">
        <v>76</v>
      </c>
      <c r="F2" s="246"/>
    </row>
    <row r="3" spans="1:6" x14ac:dyDescent="0.25">
      <c r="A3" t="s">
        <v>77</v>
      </c>
      <c r="B3" s="86" t="s">
        <v>16</v>
      </c>
      <c r="C3">
        <v>2016</v>
      </c>
      <c r="D3" t="s">
        <v>20</v>
      </c>
    </row>
    <row r="4" spans="1:6" x14ac:dyDescent="0.25">
      <c r="A4" t="s">
        <v>78</v>
      </c>
      <c r="B4" s="86" t="s">
        <v>16</v>
      </c>
      <c r="C4">
        <v>2016</v>
      </c>
      <c r="D4">
        <v>2020</v>
      </c>
    </row>
    <row r="5" spans="1:6" x14ac:dyDescent="0.25">
      <c r="A5" t="s">
        <v>79</v>
      </c>
      <c r="B5" s="86" t="s">
        <v>16</v>
      </c>
      <c r="C5">
        <v>2016</v>
      </c>
      <c r="D5">
        <v>2020</v>
      </c>
    </row>
    <row r="6" spans="1:6" x14ac:dyDescent="0.25">
      <c r="A6" t="s">
        <v>80</v>
      </c>
      <c r="B6" s="86" t="s">
        <v>16</v>
      </c>
      <c r="C6">
        <v>2016</v>
      </c>
      <c r="D6">
        <v>2021</v>
      </c>
    </row>
    <row r="7" spans="1:6" x14ac:dyDescent="0.25">
      <c r="A7" t="s">
        <v>81</v>
      </c>
      <c r="B7" s="86" t="s">
        <v>16</v>
      </c>
      <c r="C7">
        <v>2020</v>
      </c>
      <c r="D7" t="s">
        <v>20</v>
      </c>
    </row>
    <row r="8" spans="1:6" x14ac:dyDescent="0.25">
      <c r="A8" t="s">
        <v>82</v>
      </c>
      <c r="B8" s="86" t="s">
        <v>16</v>
      </c>
      <c r="C8">
        <v>2020</v>
      </c>
      <c r="D8" t="s">
        <v>20</v>
      </c>
    </row>
    <row r="9" spans="1:6" x14ac:dyDescent="0.25">
      <c r="A9" t="s">
        <v>83</v>
      </c>
      <c r="B9" s="86" t="s">
        <v>16</v>
      </c>
      <c r="C9">
        <v>2021</v>
      </c>
      <c r="D9"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AC3CB-7609-4243-8AA7-682F764AE383}">
  <sheetPr>
    <tabColor rgb="FF7030A0"/>
  </sheetPr>
  <dimension ref="A1:I42"/>
  <sheetViews>
    <sheetView workbookViewId="0">
      <selection activeCell="C15" sqref="C15"/>
    </sheetView>
  </sheetViews>
  <sheetFormatPr defaultRowHeight="15" x14ac:dyDescent="0.25"/>
  <cols>
    <col min="1" max="1" width="92.85546875" customWidth="1"/>
    <col min="2" max="2" width="29.28515625" customWidth="1"/>
    <col min="3" max="3" width="37.42578125" style="175" bestFit="1" customWidth="1"/>
    <col min="4" max="9" width="9.140625" style="175"/>
  </cols>
  <sheetData>
    <row r="1" spans="1:9" ht="18.75" x14ac:dyDescent="0.3">
      <c r="A1" s="97" t="s">
        <v>84</v>
      </c>
    </row>
    <row r="2" spans="1:9" x14ac:dyDescent="0.25">
      <c r="A2" s="1"/>
      <c r="B2" s="1" t="s">
        <v>12</v>
      </c>
      <c r="C2" s="352"/>
    </row>
    <row r="3" spans="1:9" ht="18.75" x14ac:dyDescent="0.3">
      <c r="A3" s="177" t="s">
        <v>85</v>
      </c>
    </row>
    <row r="4" spans="1:9" s="87" customFormat="1" ht="15.75" x14ac:dyDescent="0.25">
      <c r="A4" s="95" t="s">
        <v>86</v>
      </c>
      <c r="B4" s="123" t="s">
        <v>28</v>
      </c>
      <c r="C4" s="178"/>
      <c r="D4" s="178"/>
      <c r="E4" s="178"/>
      <c r="F4" s="178"/>
      <c r="G4" s="178"/>
      <c r="H4" s="178"/>
      <c r="I4" s="178"/>
    </row>
    <row r="5" spans="1:9" s="87" customFormat="1" ht="15.75" x14ac:dyDescent="0.25">
      <c r="A5" s="95" t="s">
        <v>87</v>
      </c>
      <c r="B5" s="123" t="s">
        <v>28</v>
      </c>
      <c r="C5" s="178"/>
      <c r="D5" s="178"/>
      <c r="E5" s="178"/>
      <c r="F5" s="178"/>
      <c r="G5" s="178"/>
      <c r="H5" s="178"/>
      <c r="I5" s="178"/>
    </row>
    <row r="6" spans="1:9" s="87" customFormat="1" ht="15.75" x14ac:dyDescent="0.25">
      <c r="A6" s="95" t="s">
        <v>88</v>
      </c>
      <c r="B6" s="181" t="s">
        <v>89</v>
      </c>
      <c r="C6" s="178"/>
      <c r="D6" s="178"/>
      <c r="E6" s="178"/>
      <c r="F6" s="178"/>
      <c r="G6" s="178"/>
      <c r="H6" s="178"/>
      <c r="I6" s="178"/>
    </row>
    <row r="7" spans="1:9" s="87" customFormat="1" ht="15.75" x14ac:dyDescent="0.25">
      <c r="A7" s="95" t="s">
        <v>90</v>
      </c>
      <c r="B7" s="351" t="s">
        <v>91</v>
      </c>
      <c r="C7" s="178"/>
      <c r="D7" s="178"/>
      <c r="E7" s="178"/>
      <c r="F7" s="178"/>
      <c r="G7" s="178"/>
      <c r="H7" s="178"/>
      <c r="I7" s="178"/>
    </row>
    <row r="8" spans="1:9" s="87" customFormat="1" ht="15.75" x14ac:dyDescent="0.25">
      <c r="A8" s="95" t="s">
        <v>92</v>
      </c>
      <c r="B8" s="87" t="s">
        <v>93</v>
      </c>
      <c r="C8" s="178"/>
      <c r="D8" s="178"/>
      <c r="E8" s="178"/>
      <c r="F8" s="178"/>
      <c r="G8" s="178"/>
      <c r="H8" s="178"/>
      <c r="I8" s="178"/>
    </row>
    <row r="9" spans="1:9" s="87" customFormat="1" ht="15.75" x14ac:dyDescent="0.25">
      <c r="A9" s="95" t="s">
        <v>94</v>
      </c>
      <c r="B9" s="181" t="s">
        <v>95</v>
      </c>
      <c r="C9" s="178"/>
      <c r="D9" s="178"/>
      <c r="E9" s="178"/>
      <c r="F9" s="178"/>
      <c r="G9" s="178"/>
      <c r="H9" s="178"/>
      <c r="I9" s="178"/>
    </row>
    <row r="10" spans="1:9" s="87" customFormat="1" ht="15.75" x14ac:dyDescent="0.25">
      <c r="A10" s="95" t="s">
        <v>96</v>
      </c>
      <c r="B10" s="123" t="s">
        <v>28</v>
      </c>
      <c r="C10" s="178"/>
      <c r="D10" s="178"/>
      <c r="E10" s="178"/>
      <c r="F10" s="178"/>
      <c r="G10" s="178"/>
      <c r="H10" s="178"/>
      <c r="I10" s="178"/>
    </row>
    <row r="11" spans="1:9" s="87" customFormat="1" ht="15.75" x14ac:dyDescent="0.25">
      <c r="A11" s="95" t="s">
        <v>97</v>
      </c>
      <c r="B11" s="87" t="s">
        <v>98</v>
      </c>
      <c r="C11" s="178"/>
      <c r="D11" s="178"/>
      <c r="E11" s="178"/>
      <c r="F11" s="178"/>
      <c r="G11" s="178"/>
      <c r="H11" s="178"/>
      <c r="I11" s="178"/>
    </row>
    <row r="12" spans="1:9" s="87" customFormat="1" ht="15.75" x14ac:dyDescent="0.25">
      <c r="A12" s="95"/>
      <c r="C12" s="178"/>
      <c r="D12" s="178"/>
      <c r="E12" s="178"/>
      <c r="F12" s="178"/>
      <c r="G12" s="178"/>
      <c r="H12" s="178"/>
      <c r="I12" s="178"/>
    </row>
    <row r="13" spans="1:9" ht="15.75" x14ac:dyDescent="0.25">
      <c r="A13" s="114"/>
    </row>
    <row r="14" spans="1:9" ht="18.75" x14ac:dyDescent="0.3">
      <c r="A14" s="177" t="s">
        <v>99</v>
      </c>
    </row>
    <row r="15" spans="1:9" ht="15.75" x14ac:dyDescent="0.25">
      <c r="A15" s="95" t="s">
        <v>100</v>
      </c>
      <c r="B15" s="245" t="s">
        <v>26</v>
      </c>
      <c r="C15" s="352"/>
    </row>
    <row r="16" spans="1:9" ht="15.75" x14ac:dyDescent="0.25">
      <c r="A16" s="95" t="s">
        <v>101</v>
      </c>
      <c r="B16" s="87" t="s">
        <v>102</v>
      </c>
    </row>
    <row r="17" spans="1:3" ht="15.75" x14ac:dyDescent="0.25">
      <c r="A17" s="95" t="s">
        <v>103</v>
      </c>
      <c r="B17" s="123" t="s">
        <v>28</v>
      </c>
    </row>
    <row r="18" spans="1:3" ht="15.75" x14ac:dyDescent="0.25">
      <c r="A18" s="95" t="s">
        <v>104</v>
      </c>
      <c r="B18" s="123" t="s">
        <v>26</v>
      </c>
    </row>
    <row r="19" spans="1:3" ht="15.75" x14ac:dyDescent="0.25">
      <c r="A19" s="179" t="s">
        <v>105</v>
      </c>
      <c r="B19" s="123" t="s">
        <v>26</v>
      </c>
    </row>
    <row r="20" spans="1:3" ht="15.75" x14ac:dyDescent="0.25">
      <c r="A20" s="95" t="s">
        <v>106</v>
      </c>
      <c r="B20" s="123" t="s">
        <v>28</v>
      </c>
    </row>
    <row r="21" spans="1:3" ht="31.5" x14ac:dyDescent="0.25">
      <c r="A21" s="179" t="s">
        <v>107</v>
      </c>
      <c r="B21" s="123" t="s">
        <v>28</v>
      </c>
    </row>
    <row r="22" spans="1:3" ht="15.75" x14ac:dyDescent="0.25">
      <c r="A22" s="95" t="s">
        <v>108</v>
      </c>
      <c r="B22" s="123" t="s">
        <v>28</v>
      </c>
    </row>
    <row r="23" spans="1:3" ht="15.75" x14ac:dyDescent="0.25">
      <c r="A23" s="95" t="s">
        <v>109</v>
      </c>
      <c r="B23" s="123"/>
    </row>
    <row r="24" spans="1:3" ht="15.75" x14ac:dyDescent="0.25">
      <c r="A24" s="95" t="s">
        <v>110</v>
      </c>
      <c r="B24" s="245" t="s">
        <v>111</v>
      </c>
    </row>
    <row r="26" spans="1:3" ht="15.75" x14ac:dyDescent="0.25">
      <c r="A26" s="114"/>
    </row>
    <row r="27" spans="1:3" ht="18.75" x14ac:dyDescent="0.3">
      <c r="A27" s="97" t="s">
        <v>112</v>
      </c>
    </row>
    <row r="28" spans="1:3" ht="15.75" x14ac:dyDescent="0.25">
      <c r="A28" s="95" t="s">
        <v>113</v>
      </c>
      <c r="B28" s="123" t="s">
        <v>26</v>
      </c>
    </row>
    <row r="29" spans="1:3" ht="15.75" x14ac:dyDescent="0.25">
      <c r="A29" s="95" t="s">
        <v>114</v>
      </c>
    </row>
    <row r="30" spans="1:3" ht="15.75" x14ac:dyDescent="0.25">
      <c r="A30" s="95" t="s">
        <v>115</v>
      </c>
      <c r="B30">
        <v>10</v>
      </c>
    </row>
    <row r="31" spans="1:3" ht="15.75" x14ac:dyDescent="0.25">
      <c r="A31" s="95" t="s">
        <v>116</v>
      </c>
      <c r="B31" t="s">
        <v>20</v>
      </c>
      <c r="C31" s="352"/>
    </row>
    <row r="32" spans="1:3" ht="15.75" x14ac:dyDescent="0.25">
      <c r="A32" s="95"/>
    </row>
    <row r="33" spans="1:1" ht="15.75" x14ac:dyDescent="0.25">
      <c r="A33" s="95"/>
    </row>
    <row r="34" spans="1:1" ht="15.75" x14ac:dyDescent="0.25">
      <c r="A34" s="95"/>
    </row>
    <row r="35" spans="1:1" ht="15.75" x14ac:dyDescent="0.25">
      <c r="A35" s="95"/>
    </row>
    <row r="36" spans="1:1" ht="15.75" x14ac:dyDescent="0.25">
      <c r="A36" s="95"/>
    </row>
    <row r="37" spans="1:1" ht="18.75" x14ac:dyDescent="0.3">
      <c r="A37" s="176"/>
    </row>
    <row r="38" spans="1:1" ht="18.75" x14ac:dyDescent="0.3">
      <c r="A38" s="97"/>
    </row>
    <row r="39" spans="1:1" ht="18.75" x14ac:dyDescent="0.3">
      <c r="A39" s="97"/>
    </row>
    <row r="40" spans="1:1" ht="18.75" x14ac:dyDescent="0.3">
      <c r="A40" s="97"/>
    </row>
    <row r="41" spans="1:1" ht="18.75" x14ac:dyDescent="0.3">
      <c r="A41" s="97"/>
    </row>
    <row r="42" spans="1:1" ht="18.75" x14ac:dyDescent="0.3">
      <c r="A42" s="97"/>
    </row>
  </sheetData>
  <dataValidations count="4">
    <dataValidation type="list" allowBlank="1" showInputMessage="1" showErrorMessage="1" sqref="B4:B5 B28 B10 B15 B17:B22" xr:uid="{1119C773-5563-457D-BF31-4BD5D3AEAB25}">
      <formula1>"Yes, No"</formula1>
    </dataValidation>
    <dataValidation type="list" allowBlank="1" showInputMessage="1" showErrorMessage="1" sqref="B24" xr:uid="{3DADE688-5D44-41CB-A28D-1A0F95A27F31}">
      <formula1>"Director, Institute Staff, University Research Office, Other"</formula1>
    </dataValidation>
    <dataValidation type="list" allowBlank="1" showInputMessage="1" showErrorMessage="1" sqref="B29" xr:uid="{51A3F671-C853-43F3-8EEB-2F7F4A6AF5B6}">
      <formula1>"Director, Institute Staff, Other"</formula1>
    </dataValidation>
    <dataValidation type="list" allowBlank="1" showInputMessage="1" showErrorMessage="1" sqref="B23" xr:uid="{FC4F10ED-A548-40CB-B2FA-ADC113D20CBA}">
      <formula1>"Training, budgetary review,provide list of external reviewers, other"</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4CA8D-11D2-4B84-90A1-887ECB855CB2}">
  <sheetPr>
    <tabColor rgb="FF7030A0"/>
  </sheetPr>
  <dimension ref="A1:L34"/>
  <sheetViews>
    <sheetView workbookViewId="0">
      <selection activeCell="C27" sqref="C27"/>
    </sheetView>
  </sheetViews>
  <sheetFormatPr defaultRowHeight="15" x14ac:dyDescent="0.25"/>
  <cols>
    <col min="2" max="2" width="43.7109375" customWidth="1"/>
    <col min="3" max="3" width="8.28515625" bestFit="1" customWidth="1"/>
    <col min="8" max="11" width="8.85546875" style="98"/>
    <col min="12" max="12" width="12.28515625" style="98" customWidth="1"/>
  </cols>
  <sheetData>
    <row r="1" spans="2:8" x14ac:dyDescent="0.25">
      <c r="H1" s="162" t="s">
        <v>117</v>
      </c>
    </row>
    <row r="2" spans="2:8" x14ac:dyDescent="0.25">
      <c r="C2" s="142">
        <v>2016</v>
      </c>
      <c r="D2" s="142">
        <v>2017</v>
      </c>
      <c r="E2" s="142">
        <v>2018</v>
      </c>
      <c r="F2" s="142">
        <v>2019</v>
      </c>
      <c r="G2" s="142">
        <v>2020</v>
      </c>
    </row>
    <row r="3" spans="2:8" ht="47.25" x14ac:dyDescent="0.25">
      <c r="B3" s="137" t="s">
        <v>118</v>
      </c>
      <c r="C3" s="86" t="s">
        <v>20</v>
      </c>
      <c r="D3" s="86" t="s">
        <v>20</v>
      </c>
      <c r="E3" s="86" t="s">
        <v>20</v>
      </c>
      <c r="F3" s="86" t="s">
        <v>20</v>
      </c>
      <c r="G3" s="86" t="s">
        <v>20</v>
      </c>
    </row>
    <row r="4" spans="2:8" ht="47.25" x14ac:dyDescent="0.25">
      <c r="B4" s="124" t="s">
        <v>119</v>
      </c>
      <c r="C4" t="s">
        <v>20</v>
      </c>
      <c r="D4" t="s">
        <v>20</v>
      </c>
      <c r="E4" t="s">
        <v>20</v>
      </c>
      <c r="F4" t="s">
        <v>20</v>
      </c>
      <c r="G4" t="s">
        <v>20</v>
      </c>
    </row>
    <row r="5" spans="2:8" x14ac:dyDescent="0.25">
      <c r="B5" s="1" t="s">
        <v>120</v>
      </c>
      <c r="C5" s="142">
        <v>2016</v>
      </c>
      <c r="D5" s="142">
        <v>2017</v>
      </c>
      <c r="E5" s="142">
        <v>2018</v>
      </c>
      <c r="F5" s="142">
        <v>2019</v>
      </c>
      <c r="G5" s="142">
        <v>2020</v>
      </c>
    </row>
    <row r="6" spans="2:8" x14ac:dyDescent="0.25">
      <c r="B6" s="87" t="s">
        <v>15</v>
      </c>
      <c r="C6" s="353">
        <v>184670</v>
      </c>
      <c r="D6" s="353">
        <v>186237</v>
      </c>
      <c r="E6" s="353">
        <v>184670</v>
      </c>
      <c r="F6" s="353">
        <v>185377</v>
      </c>
      <c r="G6" s="353">
        <v>250290</v>
      </c>
    </row>
    <row r="7" spans="2:8" x14ac:dyDescent="0.25">
      <c r="B7" s="87" t="s">
        <v>121</v>
      </c>
    </row>
    <row r="8" spans="2:8" x14ac:dyDescent="0.25">
      <c r="B8" s="87" t="s">
        <v>122</v>
      </c>
    </row>
    <row r="9" spans="2:8" x14ac:dyDescent="0.25">
      <c r="B9" s="87" t="s">
        <v>123</v>
      </c>
    </row>
    <row r="10" spans="2:8" x14ac:dyDescent="0.25">
      <c r="B10" s="87" t="s">
        <v>124</v>
      </c>
    </row>
    <row r="11" spans="2:8" x14ac:dyDescent="0.25">
      <c r="B11" s="87" t="s">
        <v>125</v>
      </c>
    </row>
    <row r="12" spans="2:8" x14ac:dyDescent="0.25">
      <c r="B12" s="87" t="s">
        <v>126</v>
      </c>
    </row>
    <row r="13" spans="2:8" x14ac:dyDescent="0.25">
      <c r="B13" t="s">
        <v>127</v>
      </c>
    </row>
    <row r="14" spans="2:8" x14ac:dyDescent="0.25">
      <c r="B14" t="s">
        <v>127</v>
      </c>
    </row>
    <row r="15" spans="2:8" x14ac:dyDescent="0.25">
      <c r="B15" t="s">
        <v>127</v>
      </c>
    </row>
    <row r="16" spans="2:8" x14ac:dyDescent="0.25">
      <c r="B16" t="s">
        <v>127</v>
      </c>
    </row>
    <row r="17" spans="1:7" ht="15.75" x14ac:dyDescent="0.25">
      <c r="A17" s="85"/>
      <c r="B17" t="s">
        <v>127</v>
      </c>
    </row>
    <row r="21" spans="1:7" x14ac:dyDescent="0.25">
      <c r="B21" s="108" t="s">
        <v>128</v>
      </c>
      <c r="C21" s="1">
        <v>2016</v>
      </c>
      <c r="D21" s="1">
        <v>2017</v>
      </c>
      <c r="E21" s="1">
        <v>2018</v>
      </c>
      <c r="F21" s="1">
        <v>2019</v>
      </c>
      <c r="G21" s="1">
        <v>2020</v>
      </c>
    </row>
    <row r="22" spans="1:7" x14ac:dyDescent="0.25">
      <c r="B22" t="s">
        <v>129</v>
      </c>
      <c r="C22">
        <v>0</v>
      </c>
      <c r="D22">
        <v>0</v>
      </c>
      <c r="E22">
        <v>1</v>
      </c>
      <c r="F22">
        <v>1</v>
      </c>
      <c r="G22">
        <v>2</v>
      </c>
    </row>
    <row r="23" spans="1:7" x14ac:dyDescent="0.25">
      <c r="B23" t="s">
        <v>130</v>
      </c>
      <c r="C23">
        <v>1</v>
      </c>
      <c r="D23">
        <v>3</v>
      </c>
      <c r="E23">
        <v>3</v>
      </c>
      <c r="F23">
        <v>3</v>
      </c>
      <c r="G23">
        <v>2</v>
      </c>
    </row>
    <row r="24" spans="1:7" x14ac:dyDescent="0.25">
      <c r="B24" t="s">
        <v>131</v>
      </c>
      <c r="C24">
        <v>1</v>
      </c>
      <c r="D24">
        <v>0</v>
      </c>
      <c r="E24">
        <v>1</v>
      </c>
      <c r="F24">
        <v>0</v>
      </c>
      <c r="G24">
        <v>0</v>
      </c>
    </row>
    <row r="25" spans="1:7" x14ac:dyDescent="0.25">
      <c r="B25" t="s">
        <v>132</v>
      </c>
      <c r="C25">
        <v>2</v>
      </c>
      <c r="D25">
        <v>2</v>
      </c>
      <c r="E25">
        <v>0</v>
      </c>
      <c r="F25">
        <v>1</v>
      </c>
      <c r="G25">
        <v>2</v>
      </c>
    </row>
    <row r="26" spans="1:7" x14ac:dyDescent="0.25">
      <c r="B26" t="s">
        <v>133</v>
      </c>
      <c r="C26">
        <v>0</v>
      </c>
      <c r="D26">
        <v>0</v>
      </c>
      <c r="E26">
        <v>0</v>
      </c>
      <c r="F26">
        <v>0</v>
      </c>
      <c r="G26">
        <v>0</v>
      </c>
    </row>
    <row r="27" spans="1:7" x14ac:dyDescent="0.25">
      <c r="B27" t="s">
        <v>134</v>
      </c>
    </row>
    <row r="29" spans="1:7" x14ac:dyDescent="0.25">
      <c r="B29" s="1" t="s">
        <v>135</v>
      </c>
      <c r="C29" s="1">
        <v>2016</v>
      </c>
      <c r="D29" s="1">
        <v>2017</v>
      </c>
      <c r="E29" s="1">
        <v>2018</v>
      </c>
      <c r="F29" s="1">
        <v>2019</v>
      </c>
      <c r="G29" s="1">
        <v>2020</v>
      </c>
    </row>
    <row r="30" spans="1:7" x14ac:dyDescent="0.25">
      <c r="B30" t="s">
        <v>136</v>
      </c>
      <c r="C30">
        <v>0</v>
      </c>
      <c r="D30">
        <v>0</v>
      </c>
      <c r="E30">
        <v>0</v>
      </c>
      <c r="F30">
        <v>0</v>
      </c>
      <c r="G30">
        <v>0</v>
      </c>
    </row>
    <row r="31" spans="1:7" x14ac:dyDescent="0.25">
      <c r="B31" t="s">
        <v>137</v>
      </c>
      <c r="C31">
        <v>0</v>
      </c>
      <c r="D31">
        <v>0</v>
      </c>
      <c r="E31">
        <v>0</v>
      </c>
      <c r="F31">
        <v>0</v>
      </c>
      <c r="G31">
        <v>0</v>
      </c>
    </row>
    <row r="32" spans="1:7" x14ac:dyDescent="0.25">
      <c r="B32" t="s">
        <v>138</v>
      </c>
      <c r="C32">
        <v>0</v>
      </c>
      <c r="D32">
        <v>0</v>
      </c>
      <c r="E32">
        <v>0</v>
      </c>
      <c r="F32">
        <v>0</v>
      </c>
      <c r="G32">
        <v>0</v>
      </c>
    </row>
    <row r="34" spans="2:7" ht="30" x14ac:dyDescent="0.25">
      <c r="B34" s="90" t="s">
        <v>139</v>
      </c>
      <c r="C34" t="s">
        <v>140</v>
      </c>
      <c r="D34" t="s">
        <v>140</v>
      </c>
      <c r="E34" t="s">
        <v>24</v>
      </c>
      <c r="F34" t="s">
        <v>24</v>
      </c>
      <c r="G34" t="s">
        <v>24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C8C8-A7EA-4C12-99D9-FB24A19B028A}">
  <sheetPr>
    <tabColor rgb="FF7030A0"/>
  </sheetPr>
  <dimension ref="A1:H1029"/>
  <sheetViews>
    <sheetView workbookViewId="0">
      <selection activeCell="C5" sqref="C5"/>
    </sheetView>
  </sheetViews>
  <sheetFormatPr defaultColWidth="8.85546875" defaultRowHeight="15" x14ac:dyDescent="0.25"/>
  <cols>
    <col min="1" max="1" width="33" style="84" customWidth="1"/>
    <col min="2" max="2" width="93.42578125" style="83" customWidth="1"/>
    <col min="3" max="3" width="19.7109375" style="75" customWidth="1"/>
    <col min="4" max="4" width="20.85546875" style="75" customWidth="1"/>
    <col min="5" max="5" width="10.7109375" style="75" customWidth="1"/>
    <col min="6" max="6" width="11.7109375" style="75" customWidth="1"/>
    <col min="7" max="7" width="12.7109375" style="75" customWidth="1"/>
    <col min="8" max="8" width="12" style="75" customWidth="1"/>
    <col min="9" max="16384" width="8.85546875" style="75"/>
  </cols>
  <sheetData>
    <row r="1" spans="1:8" ht="30" customHeight="1" thickBot="1" x14ac:dyDescent="0.3">
      <c r="A1" s="367" t="s">
        <v>141</v>
      </c>
      <c r="B1" s="367"/>
      <c r="C1" s="367"/>
      <c r="D1" s="368" t="s">
        <v>142</v>
      </c>
      <c r="E1" s="368"/>
      <c r="F1" s="368"/>
      <c r="G1" s="368"/>
      <c r="H1" s="368"/>
    </row>
    <row r="2" spans="1:8" ht="108" customHeight="1" thickBot="1" x14ac:dyDescent="0.3">
      <c r="A2" s="76" t="s">
        <v>143</v>
      </c>
      <c r="B2" s="106" t="s">
        <v>144</v>
      </c>
      <c r="C2" s="76" t="s">
        <v>145</v>
      </c>
      <c r="D2" s="107" t="s">
        <v>146</v>
      </c>
      <c r="E2" s="100" t="s">
        <v>147</v>
      </c>
      <c r="F2" s="77" t="s">
        <v>148</v>
      </c>
      <c r="G2" s="15" t="s">
        <v>149</v>
      </c>
      <c r="H2" s="15" t="s">
        <v>150</v>
      </c>
    </row>
    <row r="3" spans="1:8" ht="285.75" thickBot="1" x14ac:dyDescent="0.3">
      <c r="A3" s="78" t="s">
        <v>514</v>
      </c>
      <c r="B3" s="358" t="s">
        <v>513</v>
      </c>
      <c r="C3" s="360" t="s">
        <v>517</v>
      </c>
      <c r="D3" s="125" t="s">
        <v>212</v>
      </c>
      <c r="E3" s="101"/>
      <c r="F3" s="79"/>
      <c r="G3" s="101"/>
      <c r="H3" s="101"/>
    </row>
    <row r="4" spans="1:8" ht="315.75" thickBot="1" x14ac:dyDescent="0.3">
      <c r="A4" s="78" t="s">
        <v>151</v>
      </c>
      <c r="B4" s="354" t="s">
        <v>515</v>
      </c>
      <c r="C4" s="360" t="s">
        <v>518</v>
      </c>
      <c r="D4" s="125" t="s">
        <v>203</v>
      </c>
      <c r="E4" s="101"/>
      <c r="F4" s="79"/>
      <c r="G4" s="101"/>
      <c r="H4" s="101"/>
    </row>
    <row r="5" spans="1:8" ht="330.75" thickBot="1" x14ac:dyDescent="0.3">
      <c r="A5" s="78" t="s">
        <v>512</v>
      </c>
      <c r="B5" s="359" t="s">
        <v>516</v>
      </c>
      <c r="C5" s="360" t="s">
        <v>519</v>
      </c>
      <c r="D5" s="125" t="s">
        <v>190</v>
      </c>
      <c r="E5" s="101"/>
      <c r="F5" s="79"/>
      <c r="G5" s="101"/>
      <c r="H5" s="101"/>
    </row>
    <row r="6" spans="1:8" ht="108" customHeight="1" x14ac:dyDescent="0.25">
      <c r="A6" s="80"/>
      <c r="B6" s="81"/>
    </row>
    <row r="7" spans="1:8" ht="108" customHeight="1" x14ac:dyDescent="0.25">
      <c r="A7" s="80"/>
      <c r="B7" s="82"/>
    </row>
    <row r="8" spans="1:8" ht="108" customHeight="1" x14ac:dyDescent="0.25">
      <c r="A8" s="80"/>
      <c r="B8" s="82"/>
    </row>
    <row r="9" spans="1:8" ht="108" customHeight="1" x14ac:dyDescent="0.25">
      <c r="A9" s="80"/>
      <c r="B9" s="82"/>
    </row>
    <row r="10" spans="1:8" ht="108" customHeight="1" x14ac:dyDescent="0.25">
      <c r="A10" s="80"/>
      <c r="B10" s="82"/>
    </row>
    <row r="11" spans="1:8" ht="108" customHeight="1" x14ac:dyDescent="0.25">
      <c r="A11" s="80"/>
      <c r="B11" s="82"/>
    </row>
    <row r="12" spans="1:8" ht="108" customHeight="1" x14ac:dyDescent="0.25">
      <c r="A12" s="80"/>
      <c r="B12" s="82"/>
    </row>
    <row r="13" spans="1:8" ht="108" customHeight="1" x14ac:dyDescent="0.25">
      <c r="A13" s="80"/>
      <c r="B13" s="82"/>
    </row>
    <row r="14" spans="1:8" ht="108" customHeight="1" x14ac:dyDescent="0.25">
      <c r="A14" s="80"/>
      <c r="B14" s="82"/>
    </row>
    <row r="15" spans="1:8" ht="108" customHeight="1" x14ac:dyDescent="0.25">
      <c r="A15" s="80"/>
      <c r="B15" s="82"/>
    </row>
    <row r="16" spans="1:8" ht="108" customHeight="1" x14ac:dyDescent="0.25">
      <c r="A16" s="80"/>
      <c r="B16" s="82"/>
    </row>
    <row r="17" spans="1:2" ht="108" customHeight="1" x14ac:dyDescent="0.25">
      <c r="A17" s="80"/>
      <c r="B17" s="82"/>
    </row>
    <row r="18" spans="1:2" ht="108" customHeight="1" x14ac:dyDescent="0.25">
      <c r="A18" s="80"/>
      <c r="B18" s="82"/>
    </row>
    <row r="19" spans="1:2" ht="108" customHeight="1" x14ac:dyDescent="0.25">
      <c r="A19" s="80"/>
      <c r="B19" s="82"/>
    </row>
    <row r="20" spans="1:2" ht="108" customHeight="1" x14ac:dyDescent="0.25">
      <c r="A20" s="80"/>
      <c r="B20" s="82"/>
    </row>
    <row r="21" spans="1:2" ht="108" customHeight="1" x14ac:dyDescent="0.25">
      <c r="A21" s="80"/>
      <c r="B21" s="82"/>
    </row>
    <row r="22" spans="1:2" ht="108" customHeight="1" x14ac:dyDescent="0.25">
      <c r="A22" s="80"/>
      <c r="B22" s="82"/>
    </row>
    <row r="23" spans="1:2" ht="108" customHeight="1" x14ac:dyDescent="0.25">
      <c r="A23" s="80"/>
      <c r="B23" s="82"/>
    </row>
    <row r="24" spans="1:2" ht="108" customHeight="1" x14ac:dyDescent="0.25">
      <c r="A24" s="80"/>
      <c r="B24" s="82"/>
    </row>
    <row r="25" spans="1:2" ht="108" customHeight="1" x14ac:dyDescent="0.25">
      <c r="A25" s="80"/>
      <c r="B25" s="82"/>
    </row>
    <row r="26" spans="1:2" ht="108" customHeight="1" x14ac:dyDescent="0.25">
      <c r="A26" s="80"/>
      <c r="B26" s="82"/>
    </row>
    <row r="27" spans="1:2" ht="108" customHeight="1" x14ac:dyDescent="0.25">
      <c r="A27" s="80"/>
      <c r="B27" s="82"/>
    </row>
    <row r="28" spans="1:2" ht="108" customHeight="1" x14ac:dyDescent="0.25">
      <c r="A28" s="80"/>
      <c r="B28" s="82"/>
    </row>
    <row r="29" spans="1:2" ht="108" customHeight="1" x14ac:dyDescent="0.25">
      <c r="A29" s="80"/>
      <c r="B29" s="82"/>
    </row>
    <row r="30" spans="1:2" ht="108" customHeight="1" x14ac:dyDescent="0.25">
      <c r="A30" s="80"/>
      <c r="B30" s="82"/>
    </row>
    <row r="31" spans="1:2" ht="108" customHeight="1" x14ac:dyDescent="0.25">
      <c r="A31" s="80"/>
      <c r="B31" s="82"/>
    </row>
    <row r="32" spans="1:2" ht="108" customHeight="1" x14ac:dyDescent="0.25">
      <c r="A32" s="80"/>
      <c r="B32" s="82"/>
    </row>
    <row r="33" spans="1:2" ht="108" customHeight="1" x14ac:dyDescent="0.25">
      <c r="A33" s="80"/>
      <c r="B33" s="82"/>
    </row>
    <row r="34" spans="1:2" ht="108" customHeight="1" x14ac:dyDescent="0.25">
      <c r="A34" s="80"/>
      <c r="B34" s="82"/>
    </row>
    <row r="35" spans="1:2" ht="108" customHeight="1" x14ac:dyDescent="0.25">
      <c r="A35" s="80"/>
      <c r="B35" s="82"/>
    </row>
    <row r="36" spans="1:2" ht="108" customHeight="1" x14ac:dyDescent="0.25">
      <c r="A36" s="80"/>
      <c r="B36" s="82"/>
    </row>
    <row r="37" spans="1:2" ht="108" customHeight="1" x14ac:dyDescent="0.25">
      <c r="A37" s="80"/>
      <c r="B37" s="82"/>
    </row>
    <row r="38" spans="1:2" ht="108" customHeight="1" x14ac:dyDescent="0.25">
      <c r="A38" s="80"/>
      <c r="B38" s="82"/>
    </row>
    <row r="39" spans="1:2" ht="108" customHeight="1" x14ac:dyDescent="0.25">
      <c r="A39" s="80"/>
      <c r="B39" s="82"/>
    </row>
    <row r="40" spans="1:2" ht="108" customHeight="1" x14ac:dyDescent="0.25">
      <c r="A40" s="80"/>
      <c r="B40" s="82"/>
    </row>
    <row r="41" spans="1:2" ht="108" customHeight="1" x14ac:dyDescent="0.25">
      <c r="A41" s="80"/>
      <c r="B41" s="82"/>
    </row>
    <row r="42" spans="1:2" ht="108" customHeight="1" x14ac:dyDescent="0.25">
      <c r="A42" s="80"/>
      <c r="B42" s="82"/>
    </row>
    <row r="43" spans="1:2" ht="108" customHeight="1" x14ac:dyDescent="0.25">
      <c r="A43" s="80"/>
      <c r="B43" s="82"/>
    </row>
    <row r="44" spans="1:2" ht="108" customHeight="1" x14ac:dyDescent="0.25">
      <c r="A44" s="80"/>
      <c r="B44" s="82"/>
    </row>
    <row r="45" spans="1:2" ht="108" customHeight="1" x14ac:dyDescent="0.25">
      <c r="A45" s="80"/>
      <c r="B45" s="82"/>
    </row>
    <row r="46" spans="1:2" ht="108" customHeight="1" x14ac:dyDescent="0.25">
      <c r="A46" s="80"/>
      <c r="B46" s="82"/>
    </row>
    <row r="47" spans="1:2" ht="108" customHeight="1" x14ac:dyDescent="0.25">
      <c r="A47" s="80"/>
      <c r="B47" s="82"/>
    </row>
    <row r="48" spans="1:2" ht="108" customHeight="1" x14ac:dyDescent="0.25">
      <c r="A48" s="80"/>
      <c r="B48" s="82"/>
    </row>
    <row r="49" spans="1:2" ht="108" customHeight="1" x14ac:dyDescent="0.25">
      <c r="A49" s="80"/>
      <c r="B49" s="82"/>
    </row>
    <row r="50" spans="1:2" ht="108" customHeight="1" x14ac:dyDescent="0.25">
      <c r="A50" s="80"/>
      <c r="B50" s="82"/>
    </row>
    <row r="51" spans="1:2" ht="108" customHeight="1" x14ac:dyDescent="0.25">
      <c r="A51" s="80"/>
      <c r="B51" s="82"/>
    </row>
    <row r="52" spans="1:2" ht="108" customHeight="1" x14ac:dyDescent="0.25">
      <c r="A52" s="80"/>
      <c r="B52" s="82"/>
    </row>
    <row r="53" spans="1:2" ht="108" customHeight="1" x14ac:dyDescent="0.25">
      <c r="A53" s="80"/>
      <c r="B53" s="82"/>
    </row>
    <row r="54" spans="1:2" ht="108" customHeight="1" x14ac:dyDescent="0.25">
      <c r="A54" s="80"/>
      <c r="B54" s="82"/>
    </row>
    <row r="55" spans="1:2" ht="108" customHeight="1" x14ac:dyDescent="0.25">
      <c r="A55" s="80"/>
      <c r="B55" s="82"/>
    </row>
    <row r="56" spans="1:2" ht="108" customHeight="1" x14ac:dyDescent="0.25">
      <c r="A56" s="80"/>
      <c r="B56" s="82"/>
    </row>
    <row r="57" spans="1:2" ht="108" customHeight="1" x14ac:dyDescent="0.25">
      <c r="A57" s="80"/>
      <c r="B57" s="82"/>
    </row>
    <row r="58" spans="1:2" ht="108" customHeight="1" x14ac:dyDescent="0.25">
      <c r="A58" s="80"/>
      <c r="B58" s="82"/>
    </row>
    <row r="59" spans="1:2" ht="108" customHeight="1" x14ac:dyDescent="0.25">
      <c r="A59" s="80"/>
      <c r="B59" s="82"/>
    </row>
    <row r="60" spans="1:2" ht="108" customHeight="1" x14ac:dyDescent="0.25">
      <c r="A60" s="80"/>
      <c r="B60" s="82"/>
    </row>
    <row r="61" spans="1:2" ht="108" customHeight="1" x14ac:dyDescent="0.25">
      <c r="A61" s="80"/>
      <c r="B61" s="82"/>
    </row>
    <row r="62" spans="1:2" ht="108" customHeight="1" x14ac:dyDescent="0.25">
      <c r="A62" s="80"/>
      <c r="B62" s="82"/>
    </row>
    <row r="63" spans="1:2" ht="108" customHeight="1" x14ac:dyDescent="0.25">
      <c r="A63" s="80"/>
      <c r="B63" s="82"/>
    </row>
    <row r="64" spans="1:2" ht="108" customHeight="1" x14ac:dyDescent="0.25">
      <c r="A64" s="80"/>
      <c r="B64" s="82"/>
    </row>
    <row r="65" spans="1:2" ht="108" customHeight="1" x14ac:dyDescent="0.25">
      <c r="A65" s="80"/>
      <c r="B65" s="82"/>
    </row>
    <row r="66" spans="1:2" ht="108" customHeight="1" x14ac:dyDescent="0.25">
      <c r="A66" s="80"/>
      <c r="B66" s="82"/>
    </row>
    <row r="67" spans="1:2" ht="108" customHeight="1" x14ac:dyDescent="0.25">
      <c r="A67" s="80"/>
      <c r="B67" s="82"/>
    </row>
    <row r="68" spans="1:2" ht="108" customHeight="1" x14ac:dyDescent="0.25">
      <c r="A68" s="80"/>
      <c r="B68" s="82"/>
    </row>
    <row r="69" spans="1:2" ht="108" customHeight="1" x14ac:dyDescent="0.25">
      <c r="A69" s="80"/>
      <c r="B69" s="82"/>
    </row>
    <row r="70" spans="1:2" ht="108" customHeight="1" x14ac:dyDescent="0.25">
      <c r="A70" s="80"/>
      <c r="B70" s="82"/>
    </row>
    <row r="71" spans="1:2" ht="108" customHeight="1" x14ac:dyDescent="0.25">
      <c r="A71" s="80"/>
      <c r="B71" s="82"/>
    </row>
    <row r="72" spans="1:2" ht="108" customHeight="1" x14ac:dyDescent="0.25">
      <c r="A72" s="80"/>
      <c r="B72" s="82"/>
    </row>
    <row r="73" spans="1:2" ht="108" customHeight="1" x14ac:dyDescent="0.25">
      <c r="A73" s="80"/>
      <c r="B73" s="82"/>
    </row>
    <row r="74" spans="1:2" ht="108" customHeight="1" x14ac:dyDescent="0.25">
      <c r="A74" s="80"/>
      <c r="B74" s="82"/>
    </row>
    <row r="75" spans="1:2" ht="108" customHeight="1" x14ac:dyDescent="0.25">
      <c r="A75" s="80"/>
      <c r="B75" s="82"/>
    </row>
    <row r="76" spans="1:2" ht="108" customHeight="1" x14ac:dyDescent="0.25">
      <c r="A76" s="80"/>
      <c r="B76" s="82"/>
    </row>
    <row r="77" spans="1:2" ht="108" customHeight="1" x14ac:dyDescent="0.25">
      <c r="A77" s="80"/>
      <c r="B77" s="82"/>
    </row>
    <row r="78" spans="1:2" ht="108" customHeight="1" x14ac:dyDescent="0.25">
      <c r="A78" s="80"/>
      <c r="B78" s="82"/>
    </row>
    <row r="79" spans="1:2" ht="108" customHeight="1" x14ac:dyDescent="0.25">
      <c r="A79" s="80"/>
      <c r="B79" s="82"/>
    </row>
    <row r="80" spans="1:2" ht="108" customHeight="1" x14ac:dyDescent="0.25">
      <c r="A80" s="80"/>
      <c r="B80" s="82"/>
    </row>
    <row r="81" spans="1:2" ht="108" customHeight="1" x14ac:dyDescent="0.25">
      <c r="A81" s="80"/>
      <c r="B81" s="82"/>
    </row>
    <row r="82" spans="1:2" ht="108" customHeight="1" x14ac:dyDescent="0.25">
      <c r="A82" s="80"/>
      <c r="B82" s="82"/>
    </row>
    <row r="83" spans="1:2" ht="108" customHeight="1" x14ac:dyDescent="0.25">
      <c r="A83" s="80"/>
      <c r="B83" s="82"/>
    </row>
    <row r="84" spans="1:2" ht="108" customHeight="1" x14ac:dyDescent="0.25">
      <c r="A84" s="80"/>
      <c r="B84" s="82"/>
    </row>
    <row r="85" spans="1:2" ht="108" customHeight="1" x14ac:dyDescent="0.25">
      <c r="A85" s="80"/>
      <c r="B85" s="82"/>
    </row>
    <row r="86" spans="1:2" ht="108" customHeight="1" x14ac:dyDescent="0.25">
      <c r="A86" s="80"/>
      <c r="B86" s="82"/>
    </row>
    <row r="87" spans="1:2" ht="108" customHeight="1" x14ac:dyDescent="0.25">
      <c r="A87" s="80"/>
      <c r="B87" s="82"/>
    </row>
    <row r="88" spans="1:2" ht="108" customHeight="1" x14ac:dyDescent="0.25">
      <c r="A88" s="80"/>
      <c r="B88" s="82"/>
    </row>
    <row r="89" spans="1:2" ht="108" customHeight="1" x14ac:dyDescent="0.25">
      <c r="A89" s="80"/>
      <c r="B89" s="82"/>
    </row>
    <row r="90" spans="1:2" ht="108" customHeight="1" x14ac:dyDescent="0.25">
      <c r="A90" s="80"/>
      <c r="B90" s="82"/>
    </row>
    <row r="91" spans="1:2" ht="108" customHeight="1" x14ac:dyDescent="0.25">
      <c r="A91" s="80"/>
      <c r="B91" s="82"/>
    </row>
    <row r="92" spans="1:2" ht="108" customHeight="1" x14ac:dyDescent="0.25">
      <c r="A92" s="80"/>
      <c r="B92" s="82"/>
    </row>
    <row r="93" spans="1:2" ht="108" customHeight="1" x14ac:dyDescent="0.25">
      <c r="A93" s="80"/>
      <c r="B93" s="82"/>
    </row>
    <row r="94" spans="1:2" ht="108" customHeight="1" x14ac:dyDescent="0.25">
      <c r="A94" s="80"/>
      <c r="B94" s="82"/>
    </row>
    <row r="95" spans="1:2" ht="108" customHeight="1" x14ac:dyDescent="0.25">
      <c r="A95" s="80"/>
      <c r="B95" s="82"/>
    </row>
    <row r="96" spans="1:2" ht="108" customHeight="1" x14ac:dyDescent="0.25">
      <c r="A96" s="80"/>
      <c r="B96" s="82"/>
    </row>
    <row r="97" spans="1:2" ht="108" customHeight="1" x14ac:dyDescent="0.25">
      <c r="A97" s="80"/>
      <c r="B97" s="82"/>
    </row>
    <row r="98" spans="1:2" ht="108" customHeight="1" x14ac:dyDescent="0.25">
      <c r="A98" s="80"/>
      <c r="B98" s="82"/>
    </row>
    <row r="99" spans="1:2" ht="108" customHeight="1" x14ac:dyDescent="0.25">
      <c r="A99" s="80"/>
      <c r="B99" s="82"/>
    </row>
    <row r="100" spans="1:2" ht="108" customHeight="1" x14ac:dyDescent="0.25">
      <c r="A100" s="80"/>
      <c r="B100" s="82"/>
    </row>
    <row r="101" spans="1:2" ht="108" customHeight="1" x14ac:dyDescent="0.25">
      <c r="A101" s="80"/>
      <c r="B101" s="82"/>
    </row>
    <row r="102" spans="1:2" ht="108" customHeight="1" x14ac:dyDescent="0.25">
      <c r="A102" s="80"/>
      <c r="B102" s="82"/>
    </row>
    <row r="103" spans="1:2" ht="108" customHeight="1" x14ac:dyDescent="0.25">
      <c r="A103" s="80"/>
      <c r="B103" s="82"/>
    </row>
    <row r="104" spans="1:2" ht="108" customHeight="1" x14ac:dyDescent="0.25">
      <c r="A104" s="80"/>
      <c r="B104" s="82"/>
    </row>
    <row r="105" spans="1:2" ht="108" customHeight="1" x14ac:dyDescent="0.25">
      <c r="A105" s="80"/>
      <c r="B105" s="82"/>
    </row>
    <row r="106" spans="1:2" ht="108" customHeight="1" x14ac:dyDescent="0.25">
      <c r="A106" s="80"/>
      <c r="B106" s="82"/>
    </row>
    <row r="107" spans="1:2" ht="108" customHeight="1" x14ac:dyDescent="0.25">
      <c r="A107" s="80"/>
      <c r="B107" s="82"/>
    </row>
    <row r="108" spans="1:2" ht="108" customHeight="1" x14ac:dyDescent="0.25">
      <c r="A108" s="80"/>
      <c r="B108" s="82"/>
    </row>
    <row r="109" spans="1:2" ht="108" customHeight="1" x14ac:dyDescent="0.25">
      <c r="A109" s="80"/>
      <c r="B109" s="82"/>
    </row>
    <row r="110" spans="1:2" ht="108" customHeight="1" x14ac:dyDescent="0.25">
      <c r="A110" s="80"/>
      <c r="B110" s="82"/>
    </row>
    <row r="111" spans="1:2" ht="108" customHeight="1" x14ac:dyDescent="0.25">
      <c r="A111" s="80"/>
      <c r="B111" s="82"/>
    </row>
    <row r="112" spans="1:2" ht="108" customHeight="1" x14ac:dyDescent="0.25">
      <c r="A112" s="80"/>
      <c r="B112" s="82"/>
    </row>
    <row r="113" spans="1:2" ht="108" customHeight="1" x14ac:dyDescent="0.25">
      <c r="A113" s="80"/>
      <c r="B113" s="82"/>
    </row>
    <row r="114" spans="1:2" ht="108" customHeight="1" x14ac:dyDescent="0.25">
      <c r="A114" s="80"/>
      <c r="B114" s="82"/>
    </row>
    <row r="115" spans="1:2" ht="108" customHeight="1" x14ac:dyDescent="0.25">
      <c r="A115" s="80"/>
      <c r="B115" s="82"/>
    </row>
    <row r="116" spans="1:2" ht="108" customHeight="1" x14ac:dyDescent="0.25">
      <c r="A116" s="80"/>
      <c r="B116" s="82"/>
    </row>
    <row r="117" spans="1:2" ht="108" customHeight="1" x14ac:dyDescent="0.25">
      <c r="A117" s="80"/>
      <c r="B117" s="82"/>
    </row>
    <row r="118" spans="1:2" ht="108" customHeight="1" x14ac:dyDescent="0.25">
      <c r="A118" s="80"/>
      <c r="B118" s="82"/>
    </row>
    <row r="119" spans="1:2" ht="108" customHeight="1" x14ac:dyDescent="0.25">
      <c r="A119" s="80"/>
      <c r="B119" s="82"/>
    </row>
    <row r="120" spans="1:2" ht="108" customHeight="1" x14ac:dyDescent="0.25">
      <c r="A120" s="80"/>
      <c r="B120" s="82"/>
    </row>
    <row r="121" spans="1:2" ht="108" customHeight="1" x14ac:dyDescent="0.25">
      <c r="A121" s="80"/>
      <c r="B121" s="82"/>
    </row>
    <row r="122" spans="1:2" ht="108" customHeight="1" x14ac:dyDescent="0.25">
      <c r="A122" s="80"/>
      <c r="B122" s="82"/>
    </row>
    <row r="123" spans="1:2" ht="108" customHeight="1" x14ac:dyDescent="0.25">
      <c r="A123" s="80"/>
      <c r="B123" s="82"/>
    </row>
    <row r="124" spans="1:2" ht="108" customHeight="1" x14ac:dyDescent="0.25">
      <c r="A124" s="80"/>
      <c r="B124" s="82"/>
    </row>
    <row r="125" spans="1:2" ht="108" customHeight="1" x14ac:dyDescent="0.25">
      <c r="A125" s="80"/>
      <c r="B125" s="82"/>
    </row>
    <row r="126" spans="1:2" ht="108" customHeight="1" x14ac:dyDescent="0.25">
      <c r="A126" s="80"/>
      <c r="B126" s="82"/>
    </row>
    <row r="127" spans="1:2" ht="108" customHeight="1" x14ac:dyDescent="0.25">
      <c r="A127" s="80"/>
      <c r="B127" s="82"/>
    </row>
    <row r="128" spans="1:2" ht="108" customHeight="1" x14ac:dyDescent="0.25">
      <c r="A128" s="80"/>
      <c r="B128" s="82"/>
    </row>
    <row r="129" spans="1:2" ht="108" customHeight="1" x14ac:dyDescent="0.25">
      <c r="A129" s="80"/>
      <c r="B129" s="82"/>
    </row>
    <row r="130" spans="1:2" ht="108" customHeight="1" x14ac:dyDescent="0.25">
      <c r="A130" s="80"/>
      <c r="B130" s="82"/>
    </row>
    <row r="131" spans="1:2" ht="108" customHeight="1" x14ac:dyDescent="0.25">
      <c r="A131" s="80"/>
      <c r="B131" s="82"/>
    </row>
    <row r="132" spans="1:2" ht="108" customHeight="1" x14ac:dyDescent="0.25">
      <c r="A132" s="80"/>
      <c r="B132" s="82"/>
    </row>
    <row r="133" spans="1:2" ht="108" customHeight="1" x14ac:dyDescent="0.25">
      <c r="A133" s="80"/>
      <c r="B133" s="82"/>
    </row>
    <row r="134" spans="1:2" ht="108" customHeight="1" x14ac:dyDescent="0.25">
      <c r="A134" s="80"/>
      <c r="B134" s="82"/>
    </row>
    <row r="135" spans="1:2" ht="108" customHeight="1" x14ac:dyDescent="0.25">
      <c r="A135" s="80"/>
      <c r="B135" s="82"/>
    </row>
    <row r="136" spans="1:2" ht="108" customHeight="1" x14ac:dyDescent="0.25">
      <c r="A136" s="80"/>
      <c r="B136" s="82"/>
    </row>
    <row r="137" spans="1:2" ht="108" customHeight="1" x14ac:dyDescent="0.25">
      <c r="A137" s="80"/>
      <c r="B137" s="82"/>
    </row>
    <row r="138" spans="1:2" ht="108" customHeight="1" x14ac:dyDescent="0.25">
      <c r="A138" s="80"/>
      <c r="B138" s="82"/>
    </row>
    <row r="139" spans="1:2" ht="108" customHeight="1" x14ac:dyDescent="0.25">
      <c r="A139" s="80"/>
      <c r="B139" s="82"/>
    </row>
    <row r="140" spans="1:2" ht="108" customHeight="1" x14ac:dyDescent="0.25">
      <c r="A140" s="80"/>
      <c r="B140" s="82"/>
    </row>
    <row r="141" spans="1:2" ht="108" customHeight="1" x14ac:dyDescent="0.25">
      <c r="A141" s="80"/>
      <c r="B141" s="82"/>
    </row>
    <row r="142" spans="1:2" ht="108" customHeight="1" x14ac:dyDescent="0.25">
      <c r="A142" s="80"/>
      <c r="B142" s="82"/>
    </row>
    <row r="143" spans="1:2" ht="108" customHeight="1" x14ac:dyDescent="0.25">
      <c r="A143" s="80"/>
      <c r="B143" s="82"/>
    </row>
    <row r="144" spans="1:2" ht="108" customHeight="1" x14ac:dyDescent="0.25">
      <c r="A144" s="80"/>
      <c r="B144" s="82"/>
    </row>
    <row r="145" spans="1:2" ht="108" customHeight="1" x14ac:dyDescent="0.25">
      <c r="A145" s="80"/>
      <c r="B145" s="82"/>
    </row>
    <row r="146" spans="1:2" ht="108" customHeight="1" x14ac:dyDescent="0.25">
      <c r="A146" s="80"/>
      <c r="B146" s="82"/>
    </row>
    <row r="147" spans="1:2" ht="108" customHeight="1" x14ac:dyDescent="0.25">
      <c r="A147" s="80"/>
      <c r="B147" s="82"/>
    </row>
    <row r="148" spans="1:2" ht="108" customHeight="1" x14ac:dyDescent="0.25">
      <c r="A148" s="80"/>
      <c r="B148" s="82"/>
    </row>
    <row r="149" spans="1:2" ht="108" customHeight="1" x14ac:dyDescent="0.25">
      <c r="A149" s="80"/>
      <c r="B149" s="82"/>
    </row>
    <row r="150" spans="1:2" ht="108" customHeight="1" x14ac:dyDescent="0.25">
      <c r="A150" s="80"/>
      <c r="B150" s="82"/>
    </row>
    <row r="151" spans="1:2" ht="108" customHeight="1" x14ac:dyDescent="0.25">
      <c r="A151" s="80"/>
      <c r="B151" s="82"/>
    </row>
    <row r="152" spans="1:2" ht="108" customHeight="1" x14ac:dyDescent="0.25">
      <c r="A152" s="80"/>
      <c r="B152" s="82"/>
    </row>
    <row r="153" spans="1:2" ht="108" customHeight="1" x14ac:dyDescent="0.25">
      <c r="A153" s="80"/>
      <c r="B153" s="82"/>
    </row>
    <row r="154" spans="1:2" ht="108" customHeight="1" x14ac:dyDescent="0.25">
      <c r="A154" s="80"/>
      <c r="B154" s="82"/>
    </row>
    <row r="155" spans="1:2" ht="108" customHeight="1" x14ac:dyDescent="0.25">
      <c r="A155" s="80"/>
      <c r="B155" s="82"/>
    </row>
    <row r="156" spans="1:2" ht="108" customHeight="1" x14ac:dyDescent="0.25">
      <c r="A156" s="80"/>
      <c r="B156" s="82"/>
    </row>
    <row r="157" spans="1:2" ht="108" customHeight="1" x14ac:dyDescent="0.25">
      <c r="A157" s="80"/>
      <c r="B157" s="82"/>
    </row>
    <row r="158" spans="1:2" ht="108" customHeight="1" x14ac:dyDescent="0.25">
      <c r="A158" s="80"/>
      <c r="B158" s="82"/>
    </row>
    <row r="159" spans="1:2" ht="108" customHeight="1" x14ac:dyDescent="0.25">
      <c r="A159" s="80"/>
      <c r="B159" s="82"/>
    </row>
    <row r="160" spans="1:2" ht="108" customHeight="1" x14ac:dyDescent="0.25">
      <c r="A160" s="80"/>
      <c r="B160" s="82"/>
    </row>
    <row r="161" spans="1:2" ht="108" customHeight="1" x14ac:dyDescent="0.25">
      <c r="A161" s="80"/>
      <c r="B161" s="82"/>
    </row>
    <row r="162" spans="1:2" ht="108" customHeight="1" x14ac:dyDescent="0.25">
      <c r="A162" s="80"/>
      <c r="B162" s="82"/>
    </row>
    <row r="163" spans="1:2" ht="108" customHeight="1" x14ac:dyDescent="0.25">
      <c r="A163" s="80"/>
      <c r="B163" s="82"/>
    </row>
    <row r="164" spans="1:2" ht="108" customHeight="1" x14ac:dyDescent="0.25">
      <c r="A164" s="80"/>
      <c r="B164" s="82"/>
    </row>
    <row r="165" spans="1:2" ht="108" customHeight="1" x14ac:dyDescent="0.25">
      <c r="A165" s="80"/>
      <c r="B165" s="82"/>
    </row>
    <row r="166" spans="1:2" ht="108" customHeight="1" x14ac:dyDescent="0.25">
      <c r="A166" s="80"/>
      <c r="B166" s="82"/>
    </row>
    <row r="167" spans="1:2" ht="108" customHeight="1" x14ac:dyDescent="0.25">
      <c r="A167" s="80"/>
      <c r="B167" s="82"/>
    </row>
    <row r="168" spans="1:2" ht="108" customHeight="1" x14ac:dyDescent="0.25">
      <c r="A168" s="80"/>
      <c r="B168" s="82"/>
    </row>
    <row r="169" spans="1:2" ht="108" customHeight="1" x14ac:dyDescent="0.25">
      <c r="A169" s="80"/>
      <c r="B169" s="82"/>
    </row>
    <row r="170" spans="1:2" ht="108" customHeight="1" x14ac:dyDescent="0.25">
      <c r="A170" s="80"/>
      <c r="B170" s="82"/>
    </row>
    <row r="171" spans="1:2" ht="108" customHeight="1" x14ac:dyDescent="0.25">
      <c r="A171" s="80"/>
      <c r="B171" s="82"/>
    </row>
    <row r="172" spans="1:2" ht="108" customHeight="1" x14ac:dyDescent="0.25">
      <c r="A172" s="80"/>
      <c r="B172" s="82"/>
    </row>
    <row r="173" spans="1:2" ht="108" customHeight="1" x14ac:dyDescent="0.25">
      <c r="A173" s="80"/>
      <c r="B173" s="82"/>
    </row>
    <row r="174" spans="1:2" ht="108" customHeight="1" x14ac:dyDescent="0.25">
      <c r="A174" s="80"/>
      <c r="B174" s="82"/>
    </row>
    <row r="175" spans="1:2" ht="108" customHeight="1" x14ac:dyDescent="0.25">
      <c r="A175" s="80"/>
      <c r="B175" s="82"/>
    </row>
    <row r="176" spans="1:2" ht="108" customHeight="1" x14ac:dyDescent="0.25">
      <c r="A176" s="80"/>
      <c r="B176" s="82"/>
    </row>
    <row r="177" spans="1:2" ht="108" customHeight="1" x14ac:dyDescent="0.25">
      <c r="A177" s="80"/>
      <c r="B177" s="82"/>
    </row>
    <row r="178" spans="1:2" ht="108" customHeight="1" x14ac:dyDescent="0.25">
      <c r="A178" s="80"/>
      <c r="B178" s="82"/>
    </row>
    <row r="179" spans="1:2" ht="108" customHeight="1" x14ac:dyDescent="0.25">
      <c r="A179" s="80"/>
      <c r="B179" s="82"/>
    </row>
    <row r="180" spans="1:2" ht="108" customHeight="1" x14ac:dyDescent="0.25">
      <c r="A180" s="80"/>
      <c r="B180" s="82"/>
    </row>
    <row r="181" spans="1:2" ht="108" customHeight="1" x14ac:dyDescent="0.25">
      <c r="A181" s="80"/>
      <c r="B181" s="82"/>
    </row>
    <row r="182" spans="1:2" ht="108" customHeight="1" x14ac:dyDescent="0.25">
      <c r="A182" s="80"/>
      <c r="B182" s="82"/>
    </row>
    <row r="183" spans="1:2" ht="108" customHeight="1" x14ac:dyDescent="0.25">
      <c r="A183" s="80"/>
      <c r="B183" s="82"/>
    </row>
    <row r="184" spans="1:2" ht="108" customHeight="1" x14ac:dyDescent="0.25">
      <c r="A184" s="80"/>
      <c r="B184" s="82"/>
    </row>
    <row r="185" spans="1:2" ht="108" customHeight="1" x14ac:dyDescent="0.25">
      <c r="A185" s="80"/>
      <c r="B185" s="82"/>
    </row>
    <row r="186" spans="1:2" ht="108" customHeight="1" x14ac:dyDescent="0.25">
      <c r="A186" s="80"/>
      <c r="B186" s="82"/>
    </row>
    <row r="187" spans="1:2" ht="108" customHeight="1" x14ac:dyDescent="0.25">
      <c r="A187" s="80"/>
      <c r="B187" s="82"/>
    </row>
    <row r="188" spans="1:2" ht="108" customHeight="1" x14ac:dyDescent="0.25">
      <c r="A188" s="80"/>
      <c r="B188" s="82"/>
    </row>
    <row r="189" spans="1:2" ht="108" customHeight="1" x14ac:dyDescent="0.25">
      <c r="A189" s="80"/>
      <c r="B189" s="82"/>
    </row>
    <row r="190" spans="1:2" ht="108" customHeight="1" x14ac:dyDescent="0.25">
      <c r="A190" s="80"/>
      <c r="B190" s="82"/>
    </row>
    <row r="191" spans="1:2" ht="108" customHeight="1" x14ac:dyDescent="0.25">
      <c r="A191" s="80"/>
      <c r="B191" s="82"/>
    </row>
    <row r="192" spans="1:2" ht="108" customHeight="1" x14ac:dyDescent="0.25">
      <c r="A192" s="80"/>
      <c r="B192" s="82"/>
    </row>
    <row r="193" spans="1:2" ht="108" customHeight="1" x14ac:dyDescent="0.25">
      <c r="A193" s="80"/>
      <c r="B193" s="82"/>
    </row>
    <row r="194" spans="1:2" ht="108" customHeight="1" x14ac:dyDescent="0.25">
      <c r="A194" s="80"/>
      <c r="B194" s="82"/>
    </row>
    <row r="195" spans="1:2" ht="108" customHeight="1" x14ac:dyDescent="0.25">
      <c r="A195" s="80"/>
      <c r="B195" s="82"/>
    </row>
    <row r="196" spans="1:2" ht="108" customHeight="1" x14ac:dyDescent="0.25">
      <c r="A196" s="80"/>
      <c r="B196" s="82"/>
    </row>
    <row r="197" spans="1:2" ht="108" customHeight="1" x14ac:dyDescent="0.25">
      <c r="A197" s="80"/>
      <c r="B197" s="82"/>
    </row>
    <row r="198" spans="1:2" ht="108" customHeight="1" x14ac:dyDescent="0.25">
      <c r="A198" s="80"/>
      <c r="B198" s="82"/>
    </row>
    <row r="199" spans="1:2" ht="108" customHeight="1" x14ac:dyDescent="0.25">
      <c r="A199" s="80"/>
      <c r="B199" s="82"/>
    </row>
    <row r="200" spans="1:2" ht="108" customHeight="1" x14ac:dyDescent="0.25">
      <c r="A200" s="80"/>
      <c r="B200" s="82"/>
    </row>
    <row r="201" spans="1:2" ht="108" customHeight="1" x14ac:dyDescent="0.25">
      <c r="A201" s="80"/>
      <c r="B201" s="82"/>
    </row>
    <row r="202" spans="1:2" ht="108" customHeight="1" x14ac:dyDescent="0.25">
      <c r="A202" s="80"/>
      <c r="B202" s="82"/>
    </row>
    <row r="203" spans="1:2" ht="108" customHeight="1" x14ac:dyDescent="0.25">
      <c r="A203" s="80"/>
      <c r="B203" s="82"/>
    </row>
    <row r="204" spans="1:2" ht="108" customHeight="1" x14ac:dyDescent="0.25">
      <c r="A204" s="80"/>
      <c r="B204" s="82"/>
    </row>
    <row r="205" spans="1:2" ht="108" customHeight="1" x14ac:dyDescent="0.25">
      <c r="A205" s="80"/>
      <c r="B205" s="82"/>
    </row>
    <row r="206" spans="1:2" ht="108" customHeight="1" x14ac:dyDescent="0.25">
      <c r="A206" s="80"/>
      <c r="B206" s="82"/>
    </row>
    <row r="207" spans="1:2" ht="108" customHeight="1" x14ac:dyDescent="0.25">
      <c r="A207" s="80"/>
      <c r="B207" s="82"/>
    </row>
    <row r="208" spans="1:2" ht="108" customHeight="1" x14ac:dyDescent="0.25">
      <c r="A208" s="80"/>
      <c r="B208" s="82"/>
    </row>
    <row r="209" spans="1:2" ht="108" customHeight="1" x14ac:dyDescent="0.25">
      <c r="A209" s="80"/>
      <c r="B209" s="82"/>
    </row>
    <row r="210" spans="1:2" ht="108" customHeight="1" x14ac:dyDescent="0.25">
      <c r="A210" s="80"/>
      <c r="B210" s="82"/>
    </row>
    <row r="211" spans="1:2" ht="108" customHeight="1" x14ac:dyDescent="0.25">
      <c r="A211" s="80"/>
      <c r="B211" s="82"/>
    </row>
    <row r="212" spans="1:2" ht="108" customHeight="1" x14ac:dyDescent="0.25">
      <c r="A212" s="80"/>
      <c r="B212" s="82"/>
    </row>
    <row r="213" spans="1:2" ht="108" customHeight="1" x14ac:dyDescent="0.25">
      <c r="A213" s="80"/>
      <c r="B213" s="82"/>
    </row>
    <row r="214" spans="1:2" ht="108" customHeight="1" x14ac:dyDescent="0.25">
      <c r="A214" s="80"/>
      <c r="B214" s="82"/>
    </row>
    <row r="215" spans="1:2" ht="108" customHeight="1" x14ac:dyDescent="0.25">
      <c r="A215" s="80"/>
      <c r="B215" s="82"/>
    </row>
    <row r="216" spans="1:2" ht="108" customHeight="1" x14ac:dyDescent="0.25">
      <c r="A216" s="80"/>
      <c r="B216" s="82"/>
    </row>
    <row r="217" spans="1:2" ht="108" customHeight="1" x14ac:dyDescent="0.25">
      <c r="A217" s="80"/>
      <c r="B217" s="82"/>
    </row>
    <row r="218" spans="1:2" ht="108" customHeight="1" x14ac:dyDescent="0.25">
      <c r="A218" s="80"/>
      <c r="B218" s="82"/>
    </row>
    <row r="219" spans="1:2" ht="108" customHeight="1" x14ac:dyDescent="0.25">
      <c r="A219" s="80"/>
      <c r="B219" s="82"/>
    </row>
    <row r="220" spans="1:2" ht="108" customHeight="1" x14ac:dyDescent="0.25">
      <c r="A220" s="80"/>
      <c r="B220" s="82"/>
    </row>
    <row r="221" spans="1:2" ht="108" customHeight="1" x14ac:dyDescent="0.25">
      <c r="A221" s="80"/>
      <c r="B221" s="82"/>
    </row>
    <row r="222" spans="1:2" ht="108" customHeight="1" x14ac:dyDescent="0.25">
      <c r="A222" s="80"/>
      <c r="B222" s="82"/>
    </row>
    <row r="223" spans="1:2" ht="108" customHeight="1" x14ac:dyDescent="0.25">
      <c r="A223" s="80"/>
      <c r="B223" s="82"/>
    </row>
    <row r="224" spans="1:2" ht="108" customHeight="1" x14ac:dyDescent="0.25">
      <c r="A224" s="80"/>
      <c r="B224" s="82"/>
    </row>
    <row r="225" spans="1:2" ht="108" customHeight="1" x14ac:dyDescent="0.25">
      <c r="A225" s="80"/>
      <c r="B225" s="82"/>
    </row>
    <row r="226" spans="1:2" ht="108" customHeight="1" x14ac:dyDescent="0.25">
      <c r="A226" s="80"/>
      <c r="B226" s="82"/>
    </row>
    <row r="227" spans="1:2" ht="108" customHeight="1" x14ac:dyDescent="0.25">
      <c r="A227" s="80"/>
      <c r="B227" s="82"/>
    </row>
    <row r="228" spans="1:2" ht="108" customHeight="1" x14ac:dyDescent="0.25">
      <c r="A228" s="80"/>
      <c r="B228" s="82"/>
    </row>
    <row r="229" spans="1:2" ht="108" customHeight="1" x14ac:dyDescent="0.25">
      <c r="A229" s="80"/>
      <c r="B229" s="82"/>
    </row>
    <row r="230" spans="1:2" ht="108" customHeight="1" x14ac:dyDescent="0.25">
      <c r="A230" s="80"/>
      <c r="B230" s="82"/>
    </row>
    <row r="231" spans="1:2" ht="108" customHeight="1" x14ac:dyDescent="0.25">
      <c r="A231" s="80"/>
      <c r="B231" s="82"/>
    </row>
    <row r="232" spans="1:2" ht="108" customHeight="1" x14ac:dyDescent="0.25">
      <c r="A232" s="80"/>
      <c r="B232" s="82"/>
    </row>
    <row r="233" spans="1:2" ht="108" customHeight="1" x14ac:dyDescent="0.25">
      <c r="A233" s="80"/>
      <c r="B233" s="82"/>
    </row>
    <row r="234" spans="1:2" ht="108" customHeight="1" x14ac:dyDescent="0.25">
      <c r="A234" s="80"/>
      <c r="B234" s="82"/>
    </row>
    <row r="235" spans="1:2" ht="108" customHeight="1" x14ac:dyDescent="0.25">
      <c r="A235" s="80"/>
      <c r="B235" s="82"/>
    </row>
    <row r="236" spans="1:2" ht="108" customHeight="1" x14ac:dyDescent="0.25">
      <c r="A236" s="80"/>
      <c r="B236" s="82"/>
    </row>
    <row r="237" spans="1:2" ht="108" customHeight="1" x14ac:dyDescent="0.25">
      <c r="A237" s="80"/>
      <c r="B237" s="82"/>
    </row>
    <row r="238" spans="1:2" ht="108" customHeight="1" x14ac:dyDescent="0.25">
      <c r="A238" s="80"/>
      <c r="B238" s="82"/>
    </row>
    <row r="239" spans="1:2" ht="108" customHeight="1" x14ac:dyDescent="0.25">
      <c r="A239" s="80"/>
      <c r="B239" s="82"/>
    </row>
    <row r="240" spans="1:2" ht="108" customHeight="1" x14ac:dyDescent="0.25">
      <c r="A240" s="80"/>
      <c r="B240" s="82"/>
    </row>
    <row r="241" spans="1:2" ht="108" customHeight="1" x14ac:dyDescent="0.25">
      <c r="A241" s="80"/>
      <c r="B241" s="82"/>
    </row>
    <row r="242" spans="1:2" ht="108" customHeight="1" x14ac:dyDescent="0.25">
      <c r="A242" s="80"/>
      <c r="B242" s="82"/>
    </row>
    <row r="243" spans="1:2" ht="108" customHeight="1" x14ac:dyDescent="0.25">
      <c r="A243" s="80"/>
      <c r="B243" s="82"/>
    </row>
    <row r="244" spans="1:2" ht="108" customHeight="1" x14ac:dyDescent="0.25">
      <c r="A244" s="80"/>
      <c r="B244" s="82"/>
    </row>
    <row r="245" spans="1:2" ht="108" customHeight="1" x14ac:dyDescent="0.25">
      <c r="A245" s="80"/>
      <c r="B245" s="82"/>
    </row>
    <row r="246" spans="1:2" ht="108" customHeight="1" x14ac:dyDescent="0.25">
      <c r="A246" s="80"/>
      <c r="B246" s="82"/>
    </row>
    <row r="247" spans="1:2" ht="108" customHeight="1" x14ac:dyDescent="0.25">
      <c r="A247" s="80"/>
      <c r="B247" s="82"/>
    </row>
    <row r="248" spans="1:2" ht="108" customHeight="1" x14ac:dyDescent="0.25">
      <c r="A248" s="80"/>
      <c r="B248" s="82"/>
    </row>
    <row r="249" spans="1:2" ht="108" customHeight="1" x14ac:dyDescent="0.25">
      <c r="A249" s="80"/>
      <c r="B249" s="82"/>
    </row>
    <row r="250" spans="1:2" ht="108" customHeight="1" x14ac:dyDescent="0.25">
      <c r="A250" s="80"/>
      <c r="B250" s="82"/>
    </row>
    <row r="251" spans="1:2" ht="108" customHeight="1" x14ac:dyDescent="0.25">
      <c r="A251" s="80"/>
      <c r="B251" s="82"/>
    </row>
    <row r="252" spans="1:2" ht="108" customHeight="1" x14ac:dyDescent="0.25">
      <c r="A252" s="80"/>
      <c r="B252" s="82"/>
    </row>
    <row r="253" spans="1:2" ht="108" customHeight="1" x14ac:dyDescent="0.25">
      <c r="A253" s="80"/>
      <c r="B253" s="82"/>
    </row>
    <row r="254" spans="1:2" ht="108" customHeight="1" x14ac:dyDescent="0.25">
      <c r="A254" s="80"/>
      <c r="B254" s="82"/>
    </row>
    <row r="255" spans="1:2" ht="108" customHeight="1" x14ac:dyDescent="0.25">
      <c r="A255" s="80"/>
      <c r="B255" s="82"/>
    </row>
    <row r="256" spans="1:2" ht="108" customHeight="1" x14ac:dyDescent="0.25">
      <c r="A256" s="80"/>
      <c r="B256" s="82"/>
    </row>
    <row r="257" spans="1:2" ht="108" customHeight="1" x14ac:dyDescent="0.25">
      <c r="A257" s="80"/>
      <c r="B257" s="82"/>
    </row>
    <row r="258" spans="1:2" ht="108" customHeight="1" x14ac:dyDescent="0.25">
      <c r="A258" s="80"/>
      <c r="B258" s="82"/>
    </row>
    <row r="259" spans="1:2" ht="108" customHeight="1" x14ac:dyDescent="0.25">
      <c r="A259" s="80"/>
      <c r="B259" s="82"/>
    </row>
    <row r="260" spans="1:2" ht="108" customHeight="1" x14ac:dyDescent="0.25">
      <c r="A260" s="80"/>
      <c r="B260" s="82"/>
    </row>
    <row r="261" spans="1:2" ht="108" customHeight="1" x14ac:dyDescent="0.25">
      <c r="A261" s="80"/>
      <c r="B261" s="82"/>
    </row>
    <row r="262" spans="1:2" ht="108" customHeight="1" x14ac:dyDescent="0.25">
      <c r="A262" s="80"/>
      <c r="B262" s="82"/>
    </row>
    <row r="263" spans="1:2" ht="108" customHeight="1" x14ac:dyDescent="0.25">
      <c r="A263" s="80"/>
      <c r="B263" s="82"/>
    </row>
    <row r="264" spans="1:2" ht="108" customHeight="1" x14ac:dyDescent="0.25">
      <c r="A264" s="80"/>
      <c r="B264" s="82"/>
    </row>
    <row r="265" spans="1:2" ht="108" customHeight="1" x14ac:dyDescent="0.25">
      <c r="A265" s="80"/>
      <c r="B265" s="82"/>
    </row>
    <row r="266" spans="1:2" ht="108" customHeight="1" x14ac:dyDescent="0.25">
      <c r="A266" s="80"/>
      <c r="B266" s="82"/>
    </row>
    <row r="267" spans="1:2" ht="108" customHeight="1" x14ac:dyDescent="0.25">
      <c r="A267" s="80"/>
      <c r="B267" s="82"/>
    </row>
    <row r="268" spans="1:2" ht="108" customHeight="1" x14ac:dyDescent="0.25">
      <c r="A268" s="80"/>
      <c r="B268" s="82"/>
    </row>
    <row r="269" spans="1:2" ht="108" customHeight="1" x14ac:dyDescent="0.25">
      <c r="A269" s="80"/>
      <c r="B269" s="82"/>
    </row>
    <row r="270" spans="1:2" ht="108" customHeight="1" x14ac:dyDescent="0.25">
      <c r="A270" s="80"/>
      <c r="B270" s="82"/>
    </row>
    <row r="271" spans="1:2" ht="108" customHeight="1" x14ac:dyDescent="0.25">
      <c r="A271" s="80"/>
      <c r="B271" s="82"/>
    </row>
    <row r="272" spans="1:2" ht="108" customHeight="1" x14ac:dyDescent="0.25">
      <c r="A272" s="80"/>
      <c r="B272" s="82"/>
    </row>
    <row r="273" spans="1:2" ht="108" customHeight="1" x14ac:dyDescent="0.25">
      <c r="A273" s="80"/>
      <c r="B273" s="82"/>
    </row>
    <row r="274" spans="1:2" ht="108" customHeight="1" x14ac:dyDescent="0.25">
      <c r="A274" s="80"/>
      <c r="B274" s="82"/>
    </row>
    <row r="275" spans="1:2" ht="108" customHeight="1" x14ac:dyDescent="0.25">
      <c r="A275" s="80"/>
      <c r="B275" s="82"/>
    </row>
    <row r="276" spans="1:2" ht="108" customHeight="1" x14ac:dyDescent="0.25">
      <c r="A276" s="80"/>
      <c r="B276" s="82"/>
    </row>
    <row r="277" spans="1:2" ht="108" customHeight="1" x14ac:dyDescent="0.25">
      <c r="A277" s="80"/>
      <c r="B277" s="82"/>
    </row>
    <row r="278" spans="1:2" ht="108" customHeight="1" x14ac:dyDescent="0.25">
      <c r="A278" s="80"/>
      <c r="B278" s="82"/>
    </row>
    <row r="279" spans="1:2" ht="108" customHeight="1" x14ac:dyDescent="0.25">
      <c r="A279" s="80"/>
      <c r="B279" s="82"/>
    </row>
    <row r="280" spans="1:2" ht="108" customHeight="1" x14ac:dyDescent="0.25">
      <c r="A280" s="80"/>
      <c r="B280" s="82"/>
    </row>
    <row r="281" spans="1:2" ht="108" customHeight="1" x14ac:dyDescent="0.25">
      <c r="A281" s="80"/>
      <c r="B281" s="82"/>
    </row>
    <row r="282" spans="1:2" ht="108" customHeight="1" x14ac:dyDescent="0.25">
      <c r="A282" s="80"/>
      <c r="B282" s="82"/>
    </row>
    <row r="283" spans="1:2" ht="108" customHeight="1" x14ac:dyDescent="0.25">
      <c r="A283" s="80"/>
      <c r="B283" s="82"/>
    </row>
    <row r="284" spans="1:2" ht="108" customHeight="1" x14ac:dyDescent="0.25">
      <c r="A284" s="80"/>
      <c r="B284" s="82"/>
    </row>
    <row r="285" spans="1:2" ht="108" customHeight="1" x14ac:dyDescent="0.25">
      <c r="A285" s="80"/>
      <c r="B285" s="82"/>
    </row>
    <row r="286" spans="1:2" ht="108" customHeight="1" x14ac:dyDescent="0.25">
      <c r="A286" s="80"/>
      <c r="B286" s="82"/>
    </row>
    <row r="287" spans="1:2" ht="108" customHeight="1" x14ac:dyDescent="0.25">
      <c r="A287" s="80"/>
      <c r="B287" s="82"/>
    </row>
    <row r="288" spans="1:2" ht="108" customHeight="1" x14ac:dyDescent="0.25">
      <c r="A288" s="80"/>
      <c r="B288" s="82"/>
    </row>
    <row r="289" spans="1:2" ht="108" customHeight="1" x14ac:dyDescent="0.25">
      <c r="A289" s="80"/>
      <c r="B289" s="82"/>
    </row>
    <row r="290" spans="1:2" ht="108" customHeight="1" x14ac:dyDescent="0.25">
      <c r="A290" s="80"/>
      <c r="B290" s="82"/>
    </row>
    <row r="291" spans="1:2" ht="108" customHeight="1" x14ac:dyDescent="0.25">
      <c r="A291" s="80"/>
      <c r="B291" s="82"/>
    </row>
    <row r="292" spans="1:2" ht="108" customHeight="1" x14ac:dyDescent="0.25">
      <c r="A292" s="80"/>
      <c r="B292" s="82"/>
    </row>
    <row r="293" spans="1:2" ht="108" customHeight="1" x14ac:dyDescent="0.25">
      <c r="A293" s="80"/>
      <c r="B293" s="82"/>
    </row>
    <row r="294" spans="1:2" ht="108" customHeight="1" x14ac:dyDescent="0.25">
      <c r="A294" s="80"/>
      <c r="B294" s="82"/>
    </row>
    <row r="295" spans="1:2" ht="108" customHeight="1" x14ac:dyDescent="0.25">
      <c r="A295" s="80"/>
      <c r="B295" s="82"/>
    </row>
    <row r="296" spans="1:2" ht="108" customHeight="1" x14ac:dyDescent="0.25">
      <c r="A296" s="80"/>
      <c r="B296" s="82"/>
    </row>
    <row r="297" spans="1:2" ht="108" customHeight="1" x14ac:dyDescent="0.25">
      <c r="A297" s="80"/>
      <c r="B297" s="82"/>
    </row>
    <row r="298" spans="1:2" ht="108" customHeight="1" x14ac:dyDescent="0.25">
      <c r="A298" s="80"/>
      <c r="B298" s="82"/>
    </row>
    <row r="299" spans="1:2" ht="108" customHeight="1" x14ac:dyDescent="0.25">
      <c r="A299" s="80"/>
      <c r="B299" s="82"/>
    </row>
    <row r="300" spans="1:2" ht="108" customHeight="1" x14ac:dyDescent="0.25">
      <c r="A300" s="80"/>
      <c r="B300" s="82"/>
    </row>
    <row r="301" spans="1:2" ht="108" customHeight="1" x14ac:dyDescent="0.25">
      <c r="A301" s="80"/>
      <c r="B301" s="82"/>
    </row>
    <row r="302" spans="1:2" ht="108" customHeight="1" x14ac:dyDescent="0.25">
      <c r="A302" s="80"/>
      <c r="B302" s="82"/>
    </row>
    <row r="303" spans="1:2" ht="108" customHeight="1" x14ac:dyDescent="0.25">
      <c r="A303" s="80"/>
      <c r="B303" s="82"/>
    </row>
    <row r="304" spans="1:2" ht="108" customHeight="1" x14ac:dyDescent="0.25">
      <c r="A304" s="80"/>
      <c r="B304" s="82"/>
    </row>
    <row r="305" spans="1:2" ht="108" customHeight="1" x14ac:dyDescent="0.25">
      <c r="A305" s="80"/>
      <c r="B305" s="82"/>
    </row>
    <row r="306" spans="1:2" ht="108" customHeight="1" x14ac:dyDescent="0.25">
      <c r="A306" s="80"/>
      <c r="B306" s="82"/>
    </row>
    <row r="307" spans="1:2" ht="108" customHeight="1" x14ac:dyDescent="0.25">
      <c r="A307" s="80"/>
      <c r="B307" s="82"/>
    </row>
    <row r="308" spans="1:2" ht="108" customHeight="1" x14ac:dyDescent="0.25">
      <c r="A308" s="80"/>
      <c r="B308" s="82"/>
    </row>
    <row r="309" spans="1:2" ht="108" customHeight="1" x14ac:dyDescent="0.25">
      <c r="A309" s="80"/>
      <c r="B309" s="82"/>
    </row>
    <row r="310" spans="1:2" ht="108" customHeight="1" x14ac:dyDescent="0.25">
      <c r="A310" s="80"/>
      <c r="B310" s="82"/>
    </row>
    <row r="311" spans="1:2" ht="108" customHeight="1" x14ac:dyDescent="0.25">
      <c r="A311" s="80"/>
      <c r="B311" s="82"/>
    </row>
    <row r="312" spans="1:2" ht="108" customHeight="1" x14ac:dyDescent="0.25">
      <c r="A312" s="80"/>
      <c r="B312" s="82"/>
    </row>
    <row r="313" spans="1:2" ht="108" customHeight="1" x14ac:dyDescent="0.25">
      <c r="A313" s="80"/>
      <c r="B313" s="82"/>
    </row>
    <row r="314" spans="1:2" ht="108" customHeight="1" x14ac:dyDescent="0.25">
      <c r="A314" s="80"/>
      <c r="B314" s="82"/>
    </row>
    <row r="315" spans="1:2" ht="108" customHeight="1" x14ac:dyDescent="0.25">
      <c r="A315" s="80"/>
      <c r="B315" s="82"/>
    </row>
    <row r="316" spans="1:2" ht="108" customHeight="1" x14ac:dyDescent="0.25">
      <c r="A316" s="80"/>
      <c r="B316" s="82"/>
    </row>
    <row r="317" spans="1:2" ht="108" customHeight="1" x14ac:dyDescent="0.25">
      <c r="A317" s="80"/>
      <c r="B317" s="82"/>
    </row>
    <row r="318" spans="1:2" ht="108" customHeight="1" x14ac:dyDescent="0.25">
      <c r="A318" s="80"/>
      <c r="B318" s="82"/>
    </row>
    <row r="319" spans="1:2" ht="108" customHeight="1" x14ac:dyDescent="0.25">
      <c r="A319" s="80"/>
      <c r="B319" s="82"/>
    </row>
    <row r="320" spans="1:2" ht="108" customHeight="1" x14ac:dyDescent="0.25">
      <c r="A320" s="80"/>
      <c r="B320" s="82"/>
    </row>
    <row r="321" spans="1:2" ht="108" customHeight="1" x14ac:dyDescent="0.25">
      <c r="A321" s="80"/>
      <c r="B321" s="82"/>
    </row>
    <row r="322" spans="1:2" ht="108" customHeight="1" x14ac:dyDescent="0.25">
      <c r="A322" s="80"/>
      <c r="B322" s="82"/>
    </row>
    <row r="323" spans="1:2" ht="108" customHeight="1" x14ac:dyDescent="0.25">
      <c r="A323" s="80"/>
      <c r="B323" s="82"/>
    </row>
    <row r="324" spans="1:2" ht="108" customHeight="1" x14ac:dyDescent="0.25">
      <c r="A324" s="80"/>
      <c r="B324" s="82"/>
    </row>
    <row r="325" spans="1:2" ht="108" customHeight="1" x14ac:dyDescent="0.25">
      <c r="A325" s="80"/>
      <c r="B325" s="82"/>
    </row>
    <row r="326" spans="1:2" ht="108" customHeight="1" x14ac:dyDescent="0.25">
      <c r="A326" s="80"/>
      <c r="B326" s="82"/>
    </row>
    <row r="327" spans="1:2" ht="108" customHeight="1" x14ac:dyDescent="0.25">
      <c r="A327" s="80"/>
      <c r="B327" s="82"/>
    </row>
    <row r="328" spans="1:2" ht="108" customHeight="1" x14ac:dyDescent="0.25">
      <c r="A328" s="80"/>
      <c r="B328" s="82"/>
    </row>
    <row r="329" spans="1:2" ht="108" customHeight="1" x14ac:dyDescent="0.25">
      <c r="A329" s="80"/>
      <c r="B329" s="82"/>
    </row>
    <row r="330" spans="1:2" ht="108" customHeight="1" x14ac:dyDescent="0.25">
      <c r="A330" s="80"/>
      <c r="B330" s="82"/>
    </row>
    <row r="331" spans="1:2" ht="108" customHeight="1" x14ac:dyDescent="0.25">
      <c r="A331" s="80"/>
      <c r="B331" s="82"/>
    </row>
    <row r="332" spans="1:2" ht="108" customHeight="1" x14ac:dyDescent="0.25">
      <c r="A332" s="80"/>
      <c r="B332" s="82"/>
    </row>
    <row r="333" spans="1:2" ht="108" customHeight="1" x14ac:dyDescent="0.25">
      <c r="A333" s="80"/>
      <c r="B333" s="82"/>
    </row>
    <row r="334" spans="1:2" ht="108" customHeight="1" x14ac:dyDescent="0.25">
      <c r="A334" s="80"/>
      <c r="B334" s="82"/>
    </row>
    <row r="335" spans="1:2" ht="108" customHeight="1" x14ac:dyDescent="0.25">
      <c r="A335" s="80"/>
      <c r="B335" s="82"/>
    </row>
    <row r="336" spans="1:2" ht="108" customHeight="1" x14ac:dyDescent="0.25">
      <c r="A336" s="80"/>
      <c r="B336" s="82"/>
    </row>
    <row r="337" spans="1:2" ht="108" customHeight="1" x14ac:dyDescent="0.25">
      <c r="A337" s="80"/>
      <c r="B337" s="82"/>
    </row>
    <row r="338" spans="1:2" ht="108" customHeight="1" x14ac:dyDescent="0.25">
      <c r="A338" s="80"/>
      <c r="B338" s="82"/>
    </row>
    <row r="339" spans="1:2" ht="108" customHeight="1" x14ac:dyDescent="0.25">
      <c r="A339" s="80"/>
      <c r="B339" s="82"/>
    </row>
    <row r="340" spans="1:2" ht="108" customHeight="1" x14ac:dyDescent="0.25">
      <c r="A340" s="80"/>
      <c r="B340" s="82"/>
    </row>
    <row r="341" spans="1:2" ht="108" customHeight="1" x14ac:dyDescent="0.25">
      <c r="A341" s="80"/>
      <c r="B341" s="82"/>
    </row>
    <row r="342" spans="1:2" ht="108" customHeight="1" x14ac:dyDescent="0.25">
      <c r="A342" s="80"/>
      <c r="B342" s="82"/>
    </row>
    <row r="343" spans="1:2" ht="108" customHeight="1" x14ac:dyDescent="0.25">
      <c r="A343" s="80"/>
      <c r="B343" s="82"/>
    </row>
    <row r="344" spans="1:2" ht="108" customHeight="1" x14ac:dyDescent="0.25">
      <c r="A344" s="80"/>
      <c r="B344" s="82"/>
    </row>
    <row r="345" spans="1:2" ht="108" customHeight="1" x14ac:dyDescent="0.25">
      <c r="A345" s="80"/>
      <c r="B345" s="82"/>
    </row>
    <row r="346" spans="1:2" ht="108" customHeight="1" x14ac:dyDescent="0.25">
      <c r="A346" s="80"/>
      <c r="B346" s="82"/>
    </row>
    <row r="347" spans="1:2" ht="108" customHeight="1" x14ac:dyDescent="0.25">
      <c r="A347" s="80"/>
      <c r="B347" s="82"/>
    </row>
    <row r="348" spans="1:2" ht="108" customHeight="1" x14ac:dyDescent="0.25">
      <c r="A348" s="80"/>
      <c r="B348" s="82"/>
    </row>
    <row r="349" spans="1:2" ht="108" customHeight="1" x14ac:dyDescent="0.25">
      <c r="A349" s="80"/>
      <c r="B349" s="82"/>
    </row>
    <row r="350" spans="1:2" ht="108" customHeight="1" x14ac:dyDescent="0.25">
      <c r="A350" s="80"/>
      <c r="B350" s="82"/>
    </row>
    <row r="351" spans="1:2" ht="108" customHeight="1" x14ac:dyDescent="0.25">
      <c r="A351" s="80"/>
      <c r="B351" s="82"/>
    </row>
    <row r="352" spans="1:2" ht="108" customHeight="1" x14ac:dyDescent="0.25">
      <c r="A352" s="80"/>
      <c r="B352" s="82"/>
    </row>
    <row r="353" spans="1:2" ht="108" customHeight="1" x14ac:dyDescent="0.25">
      <c r="A353" s="80"/>
      <c r="B353" s="82"/>
    </row>
    <row r="354" spans="1:2" ht="108" customHeight="1" x14ac:dyDescent="0.25">
      <c r="A354" s="80"/>
      <c r="B354" s="82"/>
    </row>
    <row r="355" spans="1:2" ht="108" customHeight="1" x14ac:dyDescent="0.25">
      <c r="A355" s="80"/>
      <c r="B355" s="82"/>
    </row>
    <row r="356" spans="1:2" ht="108" customHeight="1" x14ac:dyDescent="0.25">
      <c r="A356" s="80"/>
      <c r="B356" s="82"/>
    </row>
    <row r="357" spans="1:2" ht="108" customHeight="1" x14ac:dyDescent="0.25">
      <c r="A357" s="80"/>
      <c r="B357" s="82"/>
    </row>
    <row r="358" spans="1:2" ht="108" customHeight="1" x14ac:dyDescent="0.25">
      <c r="A358" s="80"/>
      <c r="B358" s="82"/>
    </row>
    <row r="359" spans="1:2" ht="108" customHeight="1" x14ac:dyDescent="0.25">
      <c r="A359" s="80"/>
      <c r="B359" s="82"/>
    </row>
    <row r="360" spans="1:2" ht="108" customHeight="1" x14ac:dyDescent="0.25">
      <c r="A360" s="80"/>
      <c r="B360" s="82"/>
    </row>
    <row r="361" spans="1:2" ht="108" customHeight="1" x14ac:dyDescent="0.25">
      <c r="A361" s="80"/>
      <c r="B361" s="82"/>
    </row>
    <row r="362" spans="1:2" ht="108" customHeight="1" x14ac:dyDescent="0.25">
      <c r="A362" s="80"/>
      <c r="B362" s="82"/>
    </row>
    <row r="363" spans="1:2" ht="108" customHeight="1" x14ac:dyDescent="0.25">
      <c r="A363" s="80"/>
      <c r="B363" s="82"/>
    </row>
    <row r="364" spans="1:2" ht="108" customHeight="1" x14ac:dyDescent="0.25">
      <c r="A364" s="80"/>
      <c r="B364" s="82"/>
    </row>
    <row r="365" spans="1:2" ht="108" customHeight="1" x14ac:dyDescent="0.25">
      <c r="A365" s="80"/>
      <c r="B365" s="82"/>
    </row>
    <row r="366" spans="1:2" ht="108" customHeight="1" x14ac:dyDescent="0.25">
      <c r="A366" s="80"/>
      <c r="B366" s="82"/>
    </row>
    <row r="367" spans="1:2" ht="108" customHeight="1" x14ac:dyDescent="0.25">
      <c r="A367" s="80"/>
      <c r="B367" s="82"/>
    </row>
    <row r="368" spans="1:2" ht="108" customHeight="1" x14ac:dyDescent="0.25">
      <c r="A368" s="80"/>
      <c r="B368" s="82"/>
    </row>
    <row r="369" spans="1:2" ht="108" customHeight="1" x14ac:dyDescent="0.25">
      <c r="A369" s="80"/>
      <c r="B369" s="82"/>
    </row>
    <row r="370" spans="1:2" ht="108" customHeight="1" x14ac:dyDescent="0.25">
      <c r="A370" s="80"/>
      <c r="B370" s="82"/>
    </row>
    <row r="371" spans="1:2" ht="108" customHeight="1" x14ac:dyDescent="0.25">
      <c r="A371" s="80"/>
      <c r="B371" s="82"/>
    </row>
    <row r="372" spans="1:2" ht="108" customHeight="1" x14ac:dyDescent="0.25">
      <c r="A372" s="80"/>
      <c r="B372" s="82"/>
    </row>
    <row r="373" spans="1:2" ht="108" customHeight="1" x14ac:dyDescent="0.25">
      <c r="A373" s="80"/>
      <c r="B373" s="82"/>
    </row>
    <row r="374" spans="1:2" ht="108" customHeight="1" x14ac:dyDescent="0.25">
      <c r="A374" s="80"/>
      <c r="B374" s="82"/>
    </row>
    <row r="375" spans="1:2" ht="108" customHeight="1" x14ac:dyDescent="0.25">
      <c r="A375" s="80"/>
      <c r="B375" s="82"/>
    </row>
    <row r="376" spans="1:2" ht="108" customHeight="1" x14ac:dyDescent="0.25">
      <c r="A376" s="80"/>
      <c r="B376" s="82"/>
    </row>
    <row r="377" spans="1:2" ht="108" customHeight="1" x14ac:dyDescent="0.25">
      <c r="A377" s="80"/>
      <c r="B377" s="82"/>
    </row>
    <row r="378" spans="1:2" ht="108" customHeight="1" x14ac:dyDescent="0.25">
      <c r="A378" s="80"/>
      <c r="B378" s="82"/>
    </row>
    <row r="379" spans="1:2" ht="108" customHeight="1" x14ac:dyDescent="0.25">
      <c r="A379" s="80"/>
      <c r="B379" s="82"/>
    </row>
    <row r="380" spans="1:2" ht="108" customHeight="1" x14ac:dyDescent="0.25">
      <c r="A380" s="80"/>
      <c r="B380" s="82"/>
    </row>
    <row r="381" spans="1:2" ht="108" customHeight="1" x14ac:dyDescent="0.25">
      <c r="A381" s="80"/>
      <c r="B381" s="82"/>
    </row>
    <row r="382" spans="1:2" ht="108" customHeight="1" x14ac:dyDescent="0.25">
      <c r="A382" s="80"/>
      <c r="B382" s="82"/>
    </row>
    <row r="383" spans="1:2" ht="108" customHeight="1" x14ac:dyDescent="0.25">
      <c r="A383" s="80"/>
      <c r="B383" s="82"/>
    </row>
    <row r="384" spans="1:2" ht="108" customHeight="1" x14ac:dyDescent="0.25">
      <c r="A384" s="80"/>
      <c r="B384" s="82"/>
    </row>
    <row r="385" spans="1:2" ht="108" customHeight="1" x14ac:dyDescent="0.25">
      <c r="A385" s="80"/>
      <c r="B385" s="82"/>
    </row>
    <row r="386" spans="1:2" ht="108" customHeight="1" x14ac:dyDescent="0.25">
      <c r="A386" s="80"/>
      <c r="B386" s="82"/>
    </row>
    <row r="387" spans="1:2" ht="108" customHeight="1" x14ac:dyDescent="0.25">
      <c r="A387" s="80"/>
      <c r="B387" s="82"/>
    </row>
    <row r="388" spans="1:2" ht="108" customHeight="1" x14ac:dyDescent="0.25">
      <c r="A388" s="80"/>
      <c r="B388" s="82"/>
    </row>
    <row r="389" spans="1:2" ht="108" customHeight="1" x14ac:dyDescent="0.25">
      <c r="A389" s="80"/>
      <c r="B389" s="82"/>
    </row>
    <row r="390" spans="1:2" ht="108" customHeight="1" x14ac:dyDescent="0.25">
      <c r="A390" s="80"/>
      <c r="B390" s="82"/>
    </row>
    <row r="391" spans="1:2" ht="108" customHeight="1" x14ac:dyDescent="0.25">
      <c r="A391" s="80"/>
      <c r="B391" s="82"/>
    </row>
    <row r="392" spans="1:2" ht="108" customHeight="1" x14ac:dyDescent="0.25">
      <c r="A392" s="80"/>
      <c r="B392" s="82"/>
    </row>
    <row r="393" spans="1:2" ht="108" customHeight="1" x14ac:dyDescent="0.25">
      <c r="A393" s="80"/>
      <c r="B393" s="82"/>
    </row>
    <row r="394" spans="1:2" ht="108" customHeight="1" x14ac:dyDescent="0.25">
      <c r="A394" s="80"/>
      <c r="B394" s="82"/>
    </row>
    <row r="395" spans="1:2" ht="108" customHeight="1" x14ac:dyDescent="0.25">
      <c r="A395" s="80"/>
      <c r="B395" s="82"/>
    </row>
    <row r="396" spans="1:2" ht="108" customHeight="1" x14ac:dyDescent="0.25">
      <c r="A396" s="80"/>
      <c r="B396" s="82"/>
    </row>
    <row r="397" spans="1:2" ht="108" customHeight="1" x14ac:dyDescent="0.25">
      <c r="A397" s="80"/>
      <c r="B397" s="82"/>
    </row>
    <row r="398" spans="1:2" ht="108" customHeight="1" x14ac:dyDescent="0.25">
      <c r="A398" s="80"/>
      <c r="B398" s="82"/>
    </row>
    <row r="399" spans="1:2" ht="108" customHeight="1" x14ac:dyDescent="0.25">
      <c r="A399" s="80"/>
      <c r="B399" s="82"/>
    </row>
    <row r="400" spans="1:2" ht="108" customHeight="1" x14ac:dyDescent="0.25">
      <c r="A400" s="80"/>
      <c r="B400" s="82"/>
    </row>
    <row r="401" spans="1:2" ht="108" customHeight="1" x14ac:dyDescent="0.25">
      <c r="A401" s="80"/>
      <c r="B401" s="82"/>
    </row>
    <row r="402" spans="1:2" ht="108" customHeight="1" x14ac:dyDescent="0.25">
      <c r="A402" s="80"/>
      <c r="B402" s="82"/>
    </row>
    <row r="403" spans="1:2" ht="108" customHeight="1" x14ac:dyDescent="0.25">
      <c r="A403" s="80"/>
      <c r="B403" s="82"/>
    </row>
    <row r="404" spans="1:2" ht="108" customHeight="1" x14ac:dyDescent="0.25">
      <c r="A404" s="80"/>
      <c r="B404" s="82"/>
    </row>
    <row r="405" spans="1:2" ht="108" customHeight="1" x14ac:dyDescent="0.25">
      <c r="A405" s="80"/>
      <c r="B405" s="82"/>
    </row>
    <row r="406" spans="1:2" ht="108" customHeight="1" x14ac:dyDescent="0.25">
      <c r="A406" s="80"/>
      <c r="B406" s="82"/>
    </row>
    <row r="407" spans="1:2" ht="108" customHeight="1" x14ac:dyDescent="0.25">
      <c r="A407" s="80"/>
      <c r="B407" s="82"/>
    </row>
    <row r="408" spans="1:2" ht="108" customHeight="1" x14ac:dyDescent="0.25">
      <c r="A408" s="80"/>
      <c r="B408" s="82"/>
    </row>
    <row r="409" spans="1:2" ht="108" customHeight="1" x14ac:dyDescent="0.25">
      <c r="A409" s="80"/>
      <c r="B409" s="82"/>
    </row>
    <row r="410" spans="1:2" ht="108" customHeight="1" x14ac:dyDescent="0.25">
      <c r="A410" s="80"/>
      <c r="B410" s="82"/>
    </row>
    <row r="411" spans="1:2" ht="108" customHeight="1" x14ac:dyDescent="0.25">
      <c r="A411" s="80"/>
      <c r="B411" s="82"/>
    </row>
    <row r="412" spans="1:2" ht="108" customHeight="1" x14ac:dyDescent="0.25">
      <c r="A412" s="80"/>
      <c r="B412" s="82"/>
    </row>
    <row r="413" spans="1:2" ht="108" customHeight="1" x14ac:dyDescent="0.25">
      <c r="A413" s="80"/>
      <c r="B413" s="82"/>
    </row>
    <row r="414" spans="1:2" ht="108" customHeight="1" x14ac:dyDescent="0.25">
      <c r="A414" s="80"/>
      <c r="B414" s="82"/>
    </row>
    <row r="415" spans="1:2" ht="108" customHeight="1" x14ac:dyDescent="0.25">
      <c r="A415" s="80"/>
      <c r="B415" s="82"/>
    </row>
    <row r="416" spans="1:2" ht="108" customHeight="1" x14ac:dyDescent="0.25">
      <c r="A416" s="80"/>
      <c r="B416" s="82"/>
    </row>
    <row r="417" spans="1:2" ht="108" customHeight="1" x14ac:dyDescent="0.25">
      <c r="A417" s="80"/>
      <c r="B417" s="82"/>
    </row>
    <row r="418" spans="1:2" ht="108" customHeight="1" x14ac:dyDescent="0.25">
      <c r="A418" s="80"/>
      <c r="B418" s="82"/>
    </row>
    <row r="419" spans="1:2" ht="108" customHeight="1" x14ac:dyDescent="0.25">
      <c r="A419" s="80"/>
      <c r="B419" s="82"/>
    </row>
    <row r="420" spans="1:2" ht="108" customHeight="1" x14ac:dyDescent="0.25">
      <c r="A420" s="80"/>
      <c r="B420" s="82"/>
    </row>
    <row r="421" spans="1:2" ht="108" customHeight="1" x14ac:dyDescent="0.25">
      <c r="A421" s="80"/>
      <c r="B421" s="82"/>
    </row>
    <row r="422" spans="1:2" ht="108" customHeight="1" x14ac:dyDescent="0.25">
      <c r="A422" s="80"/>
      <c r="B422" s="82"/>
    </row>
    <row r="423" spans="1:2" ht="108" customHeight="1" x14ac:dyDescent="0.25">
      <c r="A423" s="80"/>
      <c r="B423" s="82"/>
    </row>
    <row r="424" spans="1:2" ht="108" customHeight="1" x14ac:dyDescent="0.25">
      <c r="A424" s="80"/>
      <c r="B424" s="82"/>
    </row>
    <row r="425" spans="1:2" ht="108" customHeight="1" x14ac:dyDescent="0.25">
      <c r="A425" s="80"/>
      <c r="B425" s="82"/>
    </row>
    <row r="426" spans="1:2" ht="108" customHeight="1" x14ac:dyDescent="0.25">
      <c r="A426" s="80"/>
      <c r="B426" s="82"/>
    </row>
    <row r="427" spans="1:2" ht="108" customHeight="1" x14ac:dyDescent="0.25">
      <c r="A427" s="80"/>
      <c r="B427" s="82"/>
    </row>
    <row r="428" spans="1:2" ht="108" customHeight="1" x14ac:dyDescent="0.25">
      <c r="A428" s="80"/>
      <c r="B428" s="82"/>
    </row>
    <row r="429" spans="1:2" ht="108" customHeight="1" x14ac:dyDescent="0.25">
      <c r="A429" s="80"/>
      <c r="B429" s="82"/>
    </row>
    <row r="430" spans="1:2" ht="108" customHeight="1" x14ac:dyDescent="0.25">
      <c r="A430" s="80"/>
      <c r="B430" s="82"/>
    </row>
    <row r="431" spans="1:2" ht="108" customHeight="1" x14ac:dyDescent="0.25">
      <c r="A431" s="80"/>
      <c r="B431" s="82"/>
    </row>
    <row r="432" spans="1:2" ht="108" customHeight="1" x14ac:dyDescent="0.25">
      <c r="A432" s="80"/>
      <c r="B432" s="82"/>
    </row>
    <row r="433" spans="1:2" ht="108" customHeight="1" x14ac:dyDescent="0.25">
      <c r="A433" s="80"/>
      <c r="B433" s="82"/>
    </row>
    <row r="434" spans="1:2" ht="108" customHeight="1" x14ac:dyDescent="0.25">
      <c r="A434" s="80"/>
      <c r="B434" s="82"/>
    </row>
    <row r="435" spans="1:2" ht="108" customHeight="1" x14ac:dyDescent="0.25">
      <c r="A435" s="80"/>
      <c r="B435" s="82"/>
    </row>
    <row r="436" spans="1:2" ht="108" customHeight="1" x14ac:dyDescent="0.25">
      <c r="A436" s="80"/>
      <c r="B436" s="82"/>
    </row>
    <row r="437" spans="1:2" ht="108" customHeight="1" x14ac:dyDescent="0.25">
      <c r="A437" s="80"/>
      <c r="B437" s="82"/>
    </row>
    <row r="438" spans="1:2" ht="108" customHeight="1" x14ac:dyDescent="0.25">
      <c r="A438" s="80"/>
      <c r="B438" s="82"/>
    </row>
    <row r="439" spans="1:2" ht="108" customHeight="1" x14ac:dyDescent="0.25">
      <c r="A439" s="80"/>
      <c r="B439" s="82"/>
    </row>
    <row r="440" spans="1:2" ht="108" customHeight="1" x14ac:dyDescent="0.25">
      <c r="A440" s="80"/>
      <c r="B440" s="82"/>
    </row>
    <row r="441" spans="1:2" ht="108" customHeight="1" x14ac:dyDescent="0.25">
      <c r="A441" s="80"/>
      <c r="B441" s="82"/>
    </row>
    <row r="442" spans="1:2" ht="108" customHeight="1" x14ac:dyDescent="0.25">
      <c r="A442" s="80"/>
      <c r="B442" s="82"/>
    </row>
    <row r="443" spans="1:2" ht="108" customHeight="1" x14ac:dyDescent="0.25">
      <c r="A443" s="80"/>
      <c r="B443" s="82"/>
    </row>
    <row r="444" spans="1:2" ht="108" customHeight="1" x14ac:dyDescent="0.25">
      <c r="A444" s="80"/>
      <c r="B444" s="82"/>
    </row>
    <row r="445" spans="1:2" ht="108" customHeight="1" x14ac:dyDescent="0.25">
      <c r="A445" s="80"/>
      <c r="B445" s="82"/>
    </row>
    <row r="446" spans="1:2" ht="108" customHeight="1" x14ac:dyDescent="0.25">
      <c r="A446" s="80"/>
      <c r="B446" s="82"/>
    </row>
    <row r="447" spans="1:2" ht="108" customHeight="1" x14ac:dyDescent="0.25">
      <c r="A447" s="80"/>
      <c r="B447" s="82"/>
    </row>
    <row r="448" spans="1:2" ht="108" customHeight="1" x14ac:dyDescent="0.25">
      <c r="A448" s="80"/>
      <c r="B448" s="82"/>
    </row>
    <row r="449" spans="1:2" ht="108" customHeight="1" x14ac:dyDescent="0.25">
      <c r="A449" s="80"/>
      <c r="B449" s="82"/>
    </row>
    <row r="450" spans="1:2" ht="108" customHeight="1" x14ac:dyDescent="0.25">
      <c r="A450" s="80"/>
      <c r="B450" s="82"/>
    </row>
    <row r="451" spans="1:2" ht="108" customHeight="1" x14ac:dyDescent="0.25">
      <c r="A451" s="80"/>
      <c r="B451" s="82"/>
    </row>
    <row r="452" spans="1:2" ht="108" customHeight="1" x14ac:dyDescent="0.25">
      <c r="A452" s="80"/>
      <c r="B452" s="82"/>
    </row>
    <row r="453" spans="1:2" ht="108" customHeight="1" x14ac:dyDescent="0.25">
      <c r="A453" s="80"/>
      <c r="B453" s="82"/>
    </row>
    <row r="454" spans="1:2" ht="108" customHeight="1" x14ac:dyDescent="0.25">
      <c r="A454" s="80"/>
      <c r="B454" s="82"/>
    </row>
    <row r="455" spans="1:2" ht="108" customHeight="1" x14ac:dyDescent="0.25">
      <c r="A455" s="80"/>
      <c r="B455" s="82"/>
    </row>
    <row r="456" spans="1:2" ht="108" customHeight="1" x14ac:dyDescent="0.25">
      <c r="A456" s="80"/>
      <c r="B456" s="82"/>
    </row>
    <row r="457" spans="1:2" ht="108" customHeight="1" x14ac:dyDescent="0.25">
      <c r="A457" s="80"/>
      <c r="B457" s="82"/>
    </row>
    <row r="458" spans="1:2" ht="108" customHeight="1" x14ac:dyDescent="0.25">
      <c r="A458" s="80"/>
      <c r="B458" s="82"/>
    </row>
    <row r="459" spans="1:2" ht="108" customHeight="1" x14ac:dyDescent="0.25">
      <c r="A459" s="80"/>
      <c r="B459" s="82"/>
    </row>
    <row r="460" spans="1:2" ht="108" customHeight="1" x14ac:dyDescent="0.25">
      <c r="A460" s="80"/>
      <c r="B460" s="82"/>
    </row>
    <row r="461" spans="1:2" ht="108" customHeight="1" x14ac:dyDescent="0.25">
      <c r="A461" s="80"/>
      <c r="B461" s="82"/>
    </row>
    <row r="462" spans="1:2" ht="108" customHeight="1" x14ac:dyDescent="0.25">
      <c r="A462" s="80"/>
      <c r="B462" s="82"/>
    </row>
    <row r="463" spans="1:2" ht="108" customHeight="1" x14ac:dyDescent="0.25">
      <c r="A463" s="80"/>
      <c r="B463" s="82"/>
    </row>
    <row r="464" spans="1:2" ht="108" customHeight="1" x14ac:dyDescent="0.25">
      <c r="A464" s="80"/>
      <c r="B464" s="82"/>
    </row>
    <row r="465" spans="1:2" ht="108" customHeight="1" x14ac:dyDescent="0.25">
      <c r="A465" s="80"/>
      <c r="B465" s="82"/>
    </row>
    <row r="466" spans="1:2" ht="108" customHeight="1" x14ac:dyDescent="0.25">
      <c r="A466" s="80"/>
      <c r="B466" s="82"/>
    </row>
    <row r="467" spans="1:2" ht="108" customHeight="1" x14ac:dyDescent="0.25">
      <c r="A467" s="80"/>
      <c r="B467" s="82"/>
    </row>
    <row r="468" spans="1:2" ht="108" customHeight="1" x14ac:dyDescent="0.25">
      <c r="A468" s="80"/>
      <c r="B468" s="82"/>
    </row>
    <row r="469" spans="1:2" ht="108" customHeight="1" x14ac:dyDescent="0.25">
      <c r="A469" s="80"/>
      <c r="B469" s="82"/>
    </row>
    <row r="470" spans="1:2" ht="108" customHeight="1" x14ac:dyDescent="0.25">
      <c r="A470" s="80"/>
      <c r="B470" s="82"/>
    </row>
    <row r="471" spans="1:2" ht="108" customHeight="1" x14ac:dyDescent="0.25">
      <c r="A471" s="80"/>
      <c r="B471" s="82"/>
    </row>
    <row r="472" spans="1:2" ht="108" customHeight="1" x14ac:dyDescent="0.25">
      <c r="A472" s="80"/>
      <c r="B472" s="82"/>
    </row>
    <row r="473" spans="1:2" ht="108" customHeight="1" x14ac:dyDescent="0.25">
      <c r="A473" s="80"/>
      <c r="B473" s="82"/>
    </row>
    <row r="474" spans="1:2" ht="108" customHeight="1" x14ac:dyDescent="0.25">
      <c r="A474" s="80"/>
      <c r="B474" s="82"/>
    </row>
    <row r="475" spans="1:2" ht="108" customHeight="1" x14ac:dyDescent="0.25">
      <c r="A475" s="80"/>
      <c r="B475" s="82"/>
    </row>
    <row r="476" spans="1:2" ht="108" customHeight="1" x14ac:dyDescent="0.25">
      <c r="A476" s="80"/>
      <c r="B476" s="82"/>
    </row>
    <row r="477" spans="1:2" ht="108" customHeight="1" x14ac:dyDescent="0.25">
      <c r="A477" s="80"/>
      <c r="B477" s="82"/>
    </row>
    <row r="478" spans="1:2" ht="108" customHeight="1" x14ac:dyDescent="0.25">
      <c r="A478" s="80"/>
      <c r="B478" s="82"/>
    </row>
    <row r="479" spans="1:2" ht="108" customHeight="1" x14ac:dyDescent="0.25">
      <c r="A479" s="80"/>
      <c r="B479" s="82"/>
    </row>
    <row r="480" spans="1:2" ht="108" customHeight="1" x14ac:dyDescent="0.25">
      <c r="A480" s="80"/>
      <c r="B480" s="82"/>
    </row>
    <row r="481" spans="1:2" ht="108" customHeight="1" x14ac:dyDescent="0.25">
      <c r="A481" s="80"/>
      <c r="B481" s="82"/>
    </row>
    <row r="482" spans="1:2" ht="108" customHeight="1" x14ac:dyDescent="0.25">
      <c r="A482" s="80"/>
      <c r="B482" s="82"/>
    </row>
    <row r="483" spans="1:2" ht="108" customHeight="1" x14ac:dyDescent="0.25">
      <c r="A483" s="80"/>
      <c r="B483" s="82"/>
    </row>
    <row r="484" spans="1:2" ht="108" customHeight="1" x14ac:dyDescent="0.25">
      <c r="A484" s="80"/>
      <c r="B484" s="82"/>
    </row>
    <row r="485" spans="1:2" ht="108" customHeight="1" x14ac:dyDescent="0.25">
      <c r="A485" s="80"/>
      <c r="B485" s="82"/>
    </row>
    <row r="486" spans="1:2" ht="108" customHeight="1" x14ac:dyDescent="0.25">
      <c r="A486" s="80"/>
      <c r="B486" s="82"/>
    </row>
    <row r="487" spans="1:2" ht="108" customHeight="1" x14ac:dyDescent="0.25">
      <c r="A487" s="80"/>
      <c r="B487" s="82"/>
    </row>
    <row r="488" spans="1:2" ht="108" customHeight="1" x14ac:dyDescent="0.25">
      <c r="A488" s="80"/>
      <c r="B488" s="82"/>
    </row>
    <row r="489" spans="1:2" ht="108" customHeight="1" x14ac:dyDescent="0.25">
      <c r="A489" s="80"/>
      <c r="B489" s="82"/>
    </row>
    <row r="490" spans="1:2" ht="108" customHeight="1" x14ac:dyDescent="0.25">
      <c r="A490" s="80"/>
      <c r="B490" s="82"/>
    </row>
    <row r="491" spans="1:2" ht="108" customHeight="1" x14ac:dyDescent="0.25">
      <c r="A491" s="80"/>
      <c r="B491" s="82"/>
    </row>
    <row r="492" spans="1:2" ht="108" customHeight="1" x14ac:dyDescent="0.25">
      <c r="A492" s="80"/>
      <c r="B492" s="82"/>
    </row>
    <row r="493" spans="1:2" ht="108" customHeight="1" x14ac:dyDescent="0.25">
      <c r="A493" s="80"/>
      <c r="B493" s="82"/>
    </row>
    <row r="494" spans="1:2" ht="108" customHeight="1" x14ac:dyDescent="0.25">
      <c r="A494" s="80"/>
      <c r="B494" s="82"/>
    </row>
    <row r="495" spans="1:2" ht="108" customHeight="1" x14ac:dyDescent="0.25">
      <c r="A495" s="80"/>
      <c r="B495" s="82"/>
    </row>
    <row r="496" spans="1:2" ht="108" customHeight="1" x14ac:dyDescent="0.25">
      <c r="A496" s="80"/>
      <c r="B496" s="82"/>
    </row>
    <row r="497" spans="1:2" ht="108" customHeight="1" x14ac:dyDescent="0.25">
      <c r="A497" s="80"/>
      <c r="B497" s="82"/>
    </row>
    <row r="498" spans="1:2" ht="108" customHeight="1" x14ac:dyDescent="0.25">
      <c r="A498" s="80"/>
      <c r="B498" s="82"/>
    </row>
    <row r="499" spans="1:2" ht="108" customHeight="1" x14ac:dyDescent="0.25">
      <c r="A499" s="80"/>
      <c r="B499" s="82"/>
    </row>
    <row r="500" spans="1:2" ht="108" customHeight="1" x14ac:dyDescent="0.25">
      <c r="A500" s="80"/>
      <c r="B500" s="82"/>
    </row>
    <row r="501" spans="1:2" ht="108" customHeight="1" x14ac:dyDescent="0.25">
      <c r="A501" s="80"/>
      <c r="B501" s="82"/>
    </row>
    <row r="502" spans="1:2" ht="108" customHeight="1" x14ac:dyDescent="0.25">
      <c r="A502" s="80"/>
      <c r="B502" s="82"/>
    </row>
    <row r="503" spans="1:2" ht="108" customHeight="1" x14ac:dyDescent="0.25">
      <c r="A503" s="80"/>
      <c r="B503" s="82"/>
    </row>
    <row r="504" spans="1:2" ht="108" customHeight="1" x14ac:dyDescent="0.25">
      <c r="A504" s="80"/>
      <c r="B504" s="82"/>
    </row>
    <row r="505" spans="1:2" ht="108" customHeight="1" x14ac:dyDescent="0.25">
      <c r="A505" s="80"/>
      <c r="B505" s="82"/>
    </row>
    <row r="506" spans="1:2" ht="108" customHeight="1" x14ac:dyDescent="0.25">
      <c r="A506" s="80"/>
      <c r="B506" s="82"/>
    </row>
    <row r="507" spans="1:2" ht="108" customHeight="1" x14ac:dyDescent="0.25">
      <c r="A507" s="80"/>
      <c r="B507" s="82"/>
    </row>
    <row r="508" spans="1:2" ht="108" customHeight="1" x14ac:dyDescent="0.25">
      <c r="A508" s="80"/>
      <c r="B508" s="82"/>
    </row>
    <row r="509" spans="1:2" ht="108" customHeight="1" x14ac:dyDescent="0.25">
      <c r="A509" s="80"/>
      <c r="B509" s="82"/>
    </row>
    <row r="510" spans="1:2" ht="108" customHeight="1" x14ac:dyDescent="0.25">
      <c r="A510" s="80"/>
      <c r="B510" s="82"/>
    </row>
    <row r="511" spans="1:2" ht="108" customHeight="1" x14ac:dyDescent="0.25">
      <c r="A511" s="80"/>
      <c r="B511" s="82"/>
    </row>
    <row r="512" spans="1:2" ht="108" customHeight="1" x14ac:dyDescent="0.25">
      <c r="A512" s="80"/>
      <c r="B512" s="82"/>
    </row>
    <row r="513" spans="1:2" ht="108" customHeight="1" x14ac:dyDescent="0.25">
      <c r="A513" s="80"/>
      <c r="B513" s="82"/>
    </row>
    <row r="514" spans="1:2" ht="108" customHeight="1" x14ac:dyDescent="0.25">
      <c r="A514" s="80"/>
      <c r="B514" s="82"/>
    </row>
    <row r="515" spans="1:2" ht="108" customHeight="1" x14ac:dyDescent="0.25">
      <c r="A515" s="80"/>
      <c r="B515" s="82"/>
    </row>
    <row r="516" spans="1:2" ht="108" customHeight="1" x14ac:dyDescent="0.25">
      <c r="A516" s="80"/>
      <c r="B516" s="82"/>
    </row>
    <row r="517" spans="1:2" ht="108" customHeight="1" x14ac:dyDescent="0.25">
      <c r="A517" s="80"/>
      <c r="B517" s="82"/>
    </row>
    <row r="518" spans="1:2" ht="108" customHeight="1" x14ac:dyDescent="0.25">
      <c r="A518" s="80"/>
      <c r="B518" s="82"/>
    </row>
    <row r="519" spans="1:2" ht="108" customHeight="1" x14ac:dyDescent="0.25">
      <c r="A519" s="80"/>
      <c r="B519" s="82"/>
    </row>
    <row r="520" spans="1:2" ht="108" customHeight="1" x14ac:dyDescent="0.25">
      <c r="A520" s="80"/>
      <c r="B520" s="82"/>
    </row>
    <row r="521" spans="1:2" ht="108" customHeight="1" x14ac:dyDescent="0.25">
      <c r="A521" s="80"/>
      <c r="B521" s="82"/>
    </row>
    <row r="522" spans="1:2" ht="108" customHeight="1" x14ac:dyDescent="0.25">
      <c r="A522" s="80"/>
      <c r="B522" s="82"/>
    </row>
    <row r="523" spans="1:2" ht="108" customHeight="1" x14ac:dyDescent="0.25">
      <c r="A523" s="80"/>
      <c r="B523" s="82"/>
    </row>
    <row r="524" spans="1:2" ht="108" customHeight="1" x14ac:dyDescent="0.25">
      <c r="A524" s="80"/>
      <c r="B524" s="82"/>
    </row>
    <row r="525" spans="1:2" ht="108" customHeight="1" x14ac:dyDescent="0.25">
      <c r="A525" s="80"/>
      <c r="B525" s="82"/>
    </row>
    <row r="526" spans="1:2" ht="108" customHeight="1" x14ac:dyDescent="0.25">
      <c r="A526" s="80"/>
      <c r="B526" s="82"/>
    </row>
    <row r="527" spans="1:2" ht="108" customHeight="1" x14ac:dyDescent="0.25">
      <c r="A527" s="80"/>
      <c r="B527" s="82"/>
    </row>
    <row r="528" spans="1:2" ht="108" customHeight="1" x14ac:dyDescent="0.25">
      <c r="A528" s="80"/>
      <c r="B528" s="82"/>
    </row>
    <row r="529" spans="1:2" ht="108" customHeight="1" x14ac:dyDescent="0.25">
      <c r="A529" s="80"/>
      <c r="B529" s="82"/>
    </row>
    <row r="530" spans="1:2" ht="108" customHeight="1" x14ac:dyDescent="0.25">
      <c r="A530" s="80"/>
      <c r="B530" s="82"/>
    </row>
    <row r="531" spans="1:2" ht="108" customHeight="1" x14ac:dyDescent="0.25">
      <c r="A531" s="80"/>
      <c r="B531" s="82"/>
    </row>
    <row r="532" spans="1:2" ht="108" customHeight="1" x14ac:dyDescent="0.25">
      <c r="A532" s="80"/>
      <c r="B532" s="82"/>
    </row>
    <row r="533" spans="1:2" ht="108" customHeight="1" x14ac:dyDescent="0.25">
      <c r="A533" s="80"/>
      <c r="B533" s="82"/>
    </row>
    <row r="534" spans="1:2" ht="108" customHeight="1" x14ac:dyDescent="0.25">
      <c r="A534" s="80"/>
      <c r="B534" s="82"/>
    </row>
    <row r="535" spans="1:2" ht="108" customHeight="1" x14ac:dyDescent="0.25">
      <c r="A535" s="80"/>
      <c r="B535" s="82"/>
    </row>
    <row r="536" spans="1:2" ht="108" customHeight="1" x14ac:dyDescent="0.25">
      <c r="A536" s="80"/>
      <c r="B536" s="82"/>
    </row>
    <row r="537" spans="1:2" ht="108" customHeight="1" x14ac:dyDescent="0.25">
      <c r="A537" s="80"/>
      <c r="B537" s="82"/>
    </row>
    <row r="538" spans="1:2" ht="108" customHeight="1" x14ac:dyDescent="0.25">
      <c r="A538" s="80"/>
      <c r="B538" s="82"/>
    </row>
    <row r="539" spans="1:2" ht="108" customHeight="1" x14ac:dyDescent="0.25">
      <c r="A539" s="80"/>
      <c r="B539" s="82"/>
    </row>
    <row r="540" spans="1:2" ht="108" customHeight="1" x14ac:dyDescent="0.25">
      <c r="A540" s="80"/>
      <c r="B540" s="82"/>
    </row>
    <row r="541" spans="1:2" ht="108" customHeight="1" x14ac:dyDescent="0.25">
      <c r="A541" s="80"/>
      <c r="B541" s="82"/>
    </row>
    <row r="542" spans="1:2" ht="108" customHeight="1" x14ac:dyDescent="0.25">
      <c r="A542" s="80"/>
      <c r="B542" s="82"/>
    </row>
    <row r="543" spans="1:2" ht="108" customHeight="1" x14ac:dyDescent="0.25">
      <c r="A543" s="80"/>
      <c r="B543" s="82"/>
    </row>
    <row r="544" spans="1:2" ht="108" customHeight="1" x14ac:dyDescent="0.25">
      <c r="A544" s="80"/>
      <c r="B544" s="82"/>
    </row>
    <row r="545" spans="1:2" ht="108" customHeight="1" x14ac:dyDescent="0.25">
      <c r="A545" s="80"/>
      <c r="B545" s="82"/>
    </row>
    <row r="546" spans="1:2" ht="108" customHeight="1" x14ac:dyDescent="0.25">
      <c r="A546" s="80"/>
      <c r="B546" s="82"/>
    </row>
    <row r="547" spans="1:2" ht="108" customHeight="1" x14ac:dyDescent="0.25">
      <c r="A547" s="80"/>
      <c r="B547" s="82"/>
    </row>
    <row r="548" spans="1:2" ht="108" customHeight="1" x14ac:dyDescent="0.25">
      <c r="A548" s="80"/>
      <c r="B548" s="82"/>
    </row>
    <row r="549" spans="1:2" ht="108" customHeight="1" x14ac:dyDescent="0.25">
      <c r="A549" s="80"/>
      <c r="B549" s="82"/>
    </row>
    <row r="550" spans="1:2" ht="108" customHeight="1" x14ac:dyDescent="0.25">
      <c r="A550" s="80"/>
      <c r="B550" s="82"/>
    </row>
    <row r="551" spans="1:2" ht="108" customHeight="1" x14ac:dyDescent="0.25">
      <c r="A551" s="80"/>
      <c r="B551" s="82"/>
    </row>
    <row r="552" spans="1:2" ht="108" customHeight="1" x14ac:dyDescent="0.25">
      <c r="A552" s="80"/>
      <c r="B552" s="82"/>
    </row>
    <row r="553" spans="1:2" ht="108" customHeight="1" x14ac:dyDescent="0.25">
      <c r="A553" s="80"/>
      <c r="B553" s="82"/>
    </row>
    <row r="554" spans="1:2" ht="108" customHeight="1" x14ac:dyDescent="0.25">
      <c r="A554" s="80"/>
      <c r="B554" s="82"/>
    </row>
    <row r="555" spans="1:2" ht="108" customHeight="1" x14ac:dyDescent="0.25">
      <c r="A555" s="80"/>
      <c r="B555" s="82"/>
    </row>
    <row r="556" spans="1:2" ht="108" customHeight="1" x14ac:dyDescent="0.25">
      <c r="A556" s="80"/>
      <c r="B556" s="82"/>
    </row>
    <row r="557" spans="1:2" ht="108" customHeight="1" x14ac:dyDescent="0.25">
      <c r="A557" s="80"/>
      <c r="B557" s="82"/>
    </row>
    <row r="558" spans="1:2" ht="108" customHeight="1" x14ac:dyDescent="0.25">
      <c r="A558" s="80"/>
      <c r="B558" s="82"/>
    </row>
    <row r="559" spans="1:2" ht="108" customHeight="1" x14ac:dyDescent="0.25">
      <c r="A559" s="80"/>
      <c r="B559" s="82"/>
    </row>
    <row r="560" spans="1:2" ht="108" customHeight="1" x14ac:dyDescent="0.25">
      <c r="A560" s="80"/>
      <c r="B560" s="82"/>
    </row>
    <row r="561" spans="1:2" ht="108" customHeight="1" x14ac:dyDescent="0.25">
      <c r="A561" s="80"/>
      <c r="B561" s="82"/>
    </row>
    <row r="562" spans="1:2" ht="108" customHeight="1" x14ac:dyDescent="0.25">
      <c r="A562" s="80"/>
      <c r="B562" s="82"/>
    </row>
    <row r="563" spans="1:2" ht="108" customHeight="1" x14ac:dyDescent="0.25">
      <c r="A563" s="80"/>
      <c r="B563" s="82"/>
    </row>
    <row r="564" spans="1:2" ht="108" customHeight="1" x14ac:dyDescent="0.25">
      <c r="A564" s="80"/>
      <c r="B564" s="82"/>
    </row>
    <row r="565" spans="1:2" ht="108" customHeight="1" x14ac:dyDescent="0.25">
      <c r="A565" s="80"/>
      <c r="B565" s="82"/>
    </row>
    <row r="566" spans="1:2" ht="108" customHeight="1" x14ac:dyDescent="0.25">
      <c r="A566" s="80"/>
      <c r="B566" s="82"/>
    </row>
    <row r="567" spans="1:2" ht="108" customHeight="1" x14ac:dyDescent="0.25">
      <c r="A567" s="80"/>
      <c r="B567" s="82"/>
    </row>
    <row r="568" spans="1:2" ht="108" customHeight="1" x14ac:dyDescent="0.25">
      <c r="A568" s="80"/>
      <c r="B568" s="82"/>
    </row>
    <row r="569" spans="1:2" ht="108" customHeight="1" x14ac:dyDescent="0.25">
      <c r="A569" s="80"/>
      <c r="B569" s="82"/>
    </row>
    <row r="570" spans="1:2" ht="108" customHeight="1" x14ac:dyDescent="0.25">
      <c r="A570" s="80"/>
      <c r="B570" s="82"/>
    </row>
    <row r="571" spans="1:2" ht="108" customHeight="1" x14ac:dyDescent="0.25">
      <c r="A571" s="80"/>
      <c r="B571" s="82"/>
    </row>
    <row r="572" spans="1:2" ht="108" customHeight="1" x14ac:dyDescent="0.25">
      <c r="A572" s="80"/>
      <c r="B572" s="82"/>
    </row>
    <row r="573" spans="1:2" ht="108" customHeight="1" x14ac:dyDescent="0.25">
      <c r="A573" s="80"/>
      <c r="B573" s="82"/>
    </row>
    <row r="574" spans="1:2" ht="108" customHeight="1" x14ac:dyDescent="0.25">
      <c r="A574" s="80"/>
      <c r="B574" s="82"/>
    </row>
    <row r="575" spans="1:2" ht="108" customHeight="1" x14ac:dyDescent="0.25">
      <c r="A575" s="80"/>
      <c r="B575" s="82"/>
    </row>
    <row r="576" spans="1:2" ht="108" customHeight="1" x14ac:dyDescent="0.25">
      <c r="A576" s="80"/>
      <c r="B576" s="82"/>
    </row>
    <row r="577" spans="1:2" ht="108" customHeight="1" x14ac:dyDescent="0.25">
      <c r="A577" s="80"/>
      <c r="B577" s="82"/>
    </row>
    <row r="578" spans="1:2" ht="108" customHeight="1" x14ac:dyDescent="0.25">
      <c r="A578" s="80"/>
      <c r="B578" s="82"/>
    </row>
    <row r="579" spans="1:2" ht="108" customHeight="1" x14ac:dyDescent="0.25">
      <c r="A579" s="80"/>
      <c r="B579" s="82"/>
    </row>
    <row r="580" spans="1:2" ht="108" customHeight="1" x14ac:dyDescent="0.25">
      <c r="A580" s="80"/>
      <c r="B580" s="82"/>
    </row>
    <row r="581" spans="1:2" ht="108" customHeight="1" x14ac:dyDescent="0.25">
      <c r="A581" s="80"/>
      <c r="B581" s="82"/>
    </row>
    <row r="582" spans="1:2" ht="108" customHeight="1" x14ac:dyDescent="0.25">
      <c r="A582" s="80"/>
      <c r="B582" s="82"/>
    </row>
    <row r="583" spans="1:2" ht="108" customHeight="1" x14ac:dyDescent="0.25">
      <c r="A583" s="80"/>
      <c r="B583" s="82"/>
    </row>
    <row r="584" spans="1:2" ht="108" customHeight="1" x14ac:dyDescent="0.25">
      <c r="A584" s="80"/>
      <c r="B584" s="82"/>
    </row>
    <row r="585" spans="1:2" ht="108" customHeight="1" x14ac:dyDescent="0.25">
      <c r="A585" s="80"/>
      <c r="B585" s="82"/>
    </row>
    <row r="586" spans="1:2" ht="108" customHeight="1" x14ac:dyDescent="0.25">
      <c r="A586" s="80"/>
      <c r="B586" s="82"/>
    </row>
    <row r="587" spans="1:2" ht="108" customHeight="1" x14ac:dyDescent="0.25">
      <c r="A587" s="80"/>
      <c r="B587" s="82"/>
    </row>
    <row r="588" spans="1:2" ht="108" customHeight="1" x14ac:dyDescent="0.25">
      <c r="A588" s="80"/>
      <c r="B588" s="82"/>
    </row>
    <row r="589" spans="1:2" ht="108" customHeight="1" x14ac:dyDescent="0.25">
      <c r="A589" s="80"/>
      <c r="B589" s="82"/>
    </row>
    <row r="590" spans="1:2" ht="108" customHeight="1" x14ac:dyDescent="0.25">
      <c r="A590" s="80"/>
      <c r="B590" s="82"/>
    </row>
    <row r="591" spans="1:2" ht="108" customHeight="1" x14ac:dyDescent="0.25">
      <c r="A591" s="80"/>
      <c r="B591" s="82"/>
    </row>
    <row r="592" spans="1:2" ht="108" customHeight="1" x14ac:dyDescent="0.25">
      <c r="A592" s="80"/>
      <c r="B592" s="82"/>
    </row>
    <row r="593" spans="1:2" ht="108" customHeight="1" x14ac:dyDescent="0.25">
      <c r="A593" s="80"/>
      <c r="B593" s="82"/>
    </row>
    <row r="594" spans="1:2" ht="108" customHeight="1" x14ac:dyDescent="0.25">
      <c r="A594" s="80"/>
      <c r="B594" s="82"/>
    </row>
    <row r="595" spans="1:2" ht="108" customHeight="1" x14ac:dyDescent="0.25">
      <c r="A595" s="80"/>
      <c r="B595" s="82"/>
    </row>
    <row r="596" spans="1:2" ht="108" customHeight="1" x14ac:dyDescent="0.25">
      <c r="A596" s="80"/>
      <c r="B596" s="82"/>
    </row>
    <row r="597" spans="1:2" ht="108" customHeight="1" x14ac:dyDescent="0.25">
      <c r="A597" s="80"/>
      <c r="B597" s="82"/>
    </row>
    <row r="598" spans="1:2" ht="108" customHeight="1" x14ac:dyDescent="0.25">
      <c r="A598" s="80"/>
      <c r="B598" s="82"/>
    </row>
    <row r="599" spans="1:2" ht="108" customHeight="1" x14ac:dyDescent="0.25">
      <c r="A599" s="80"/>
      <c r="B599" s="82"/>
    </row>
    <row r="600" spans="1:2" ht="108" customHeight="1" x14ac:dyDescent="0.25">
      <c r="A600" s="80"/>
      <c r="B600" s="82"/>
    </row>
    <row r="601" spans="1:2" ht="108" customHeight="1" x14ac:dyDescent="0.25">
      <c r="A601" s="80"/>
      <c r="B601" s="82"/>
    </row>
    <row r="602" spans="1:2" ht="108" customHeight="1" x14ac:dyDescent="0.25">
      <c r="A602" s="80"/>
      <c r="B602" s="82"/>
    </row>
    <row r="603" spans="1:2" ht="108" customHeight="1" x14ac:dyDescent="0.25">
      <c r="A603" s="80"/>
      <c r="B603" s="82"/>
    </row>
    <row r="604" spans="1:2" ht="108" customHeight="1" x14ac:dyDescent="0.25">
      <c r="A604" s="80"/>
      <c r="B604" s="82"/>
    </row>
    <row r="605" spans="1:2" ht="108" customHeight="1" x14ac:dyDescent="0.25">
      <c r="A605" s="80"/>
      <c r="B605" s="82"/>
    </row>
    <row r="606" spans="1:2" ht="108" customHeight="1" x14ac:dyDescent="0.25">
      <c r="A606" s="80"/>
      <c r="B606" s="82"/>
    </row>
    <row r="607" spans="1:2" ht="108" customHeight="1" x14ac:dyDescent="0.25">
      <c r="A607" s="80"/>
      <c r="B607" s="82"/>
    </row>
    <row r="608" spans="1:2" ht="108" customHeight="1" x14ac:dyDescent="0.25">
      <c r="A608" s="80"/>
      <c r="B608" s="82"/>
    </row>
    <row r="609" spans="1:2" ht="108" customHeight="1" x14ac:dyDescent="0.25">
      <c r="A609" s="80"/>
      <c r="B609" s="82"/>
    </row>
    <row r="610" spans="1:2" ht="108" customHeight="1" x14ac:dyDescent="0.25">
      <c r="A610" s="80"/>
      <c r="B610" s="82"/>
    </row>
    <row r="611" spans="1:2" ht="108" customHeight="1" x14ac:dyDescent="0.25">
      <c r="A611" s="80"/>
      <c r="B611" s="82"/>
    </row>
    <row r="612" spans="1:2" ht="108" customHeight="1" x14ac:dyDescent="0.25">
      <c r="A612" s="80"/>
      <c r="B612" s="82"/>
    </row>
    <row r="613" spans="1:2" ht="108" customHeight="1" x14ac:dyDescent="0.25">
      <c r="A613" s="80"/>
      <c r="B613" s="82"/>
    </row>
    <row r="614" spans="1:2" ht="108" customHeight="1" x14ac:dyDescent="0.25">
      <c r="A614" s="80"/>
      <c r="B614" s="82"/>
    </row>
    <row r="615" spans="1:2" ht="108" customHeight="1" x14ac:dyDescent="0.25">
      <c r="A615" s="80"/>
      <c r="B615" s="82"/>
    </row>
    <row r="616" spans="1:2" ht="108" customHeight="1" x14ac:dyDescent="0.25">
      <c r="A616" s="80"/>
      <c r="B616" s="82"/>
    </row>
    <row r="617" spans="1:2" ht="108" customHeight="1" x14ac:dyDescent="0.25">
      <c r="A617" s="80"/>
      <c r="B617" s="82"/>
    </row>
    <row r="618" spans="1:2" ht="108" customHeight="1" x14ac:dyDescent="0.25">
      <c r="A618" s="80"/>
      <c r="B618" s="82"/>
    </row>
    <row r="619" spans="1:2" ht="108" customHeight="1" x14ac:dyDescent="0.25">
      <c r="A619" s="80"/>
      <c r="B619" s="82"/>
    </row>
    <row r="620" spans="1:2" ht="108" customHeight="1" x14ac:dyDescent="0.25">
      <c r="A620" s="80"/>
      <c r="B620" s="82"/>
    </row>
    <row r="621" spans="1:2" ht="108" customHeight="1" x14ac:dyDescent="0.25">
      <c r="A621" s="80"/>
      <c r="B621" s="82"/>
    </row>
    <row r="622" spans="1:2" ht="108" customHeight="1" x14ac:dyDescent="0.25">
      <c r="A622" s="80"/>
      <c r="B622" s="82"/>
    </row>
    <row r="623" spans="1:2" ht="108" customHeight="1" x14ac:dyDescent="0.25">
      <c r="A623" s="80"/>
      <c r="B623" s="82"/>
    </row>
    <row r="624" spans="1:2" ht="108" customHeight="1" x14ac:dyDescent="0.25">
      <c r="A624" s="80"/>
      <c r="B624" s="82"/>
    </row>
    <row r="625" spans="1:2" ht="108" customHeight="1" x14ac:dyDescent="0.25">
      <c r="A625" s="80"/>
      <c r="B625" s="82"/>
    </row>
    <row r="626" spans="1:2" ht="108" customHeight="1" x14ac:dyDescent="0.25">
      <c r="A626" s="80"/>
      <c r="B626" s="82"/>
    </row>
    <row r="627" spans="1:2" ht="108" customHeight="1" x14ac:dyDescent="0.25">
      <c r="A627" s="80"/>
      <c r="B627" s="82"/>
    </row>
    <row r="628" spans="1:2" ht="108" customHeight="1" x14ac:dyDescent="0.25">
      <c r="A628" s="80"/>
      <c r="B628" s="82"/>
    </row>
    <row r="629" spans="1:2" ht="108" customHeight="1" x14ac:dyDescent="0.25">
      <c r="A629" s="80"/>
      <c r="B629" s="82"/>
    </row>
    <row r="630" spans="1:2" ht="108" customHeight="1" x14ac:dyDescent="0.25">
      <c r="A630" s="80"/>
      <c r="B630" s="82"/>
    </row>
    <row r="631" spans="1:2" ht="108" customHeight="1" x14ac:dyDescent="0.25">
      <c r="A631" s="80"/>
      <c r="B631" s="82"/>
    </row>
    <row r="632" spans="1:2" ht="108" customHeight="1" x14ac:dyDescent="0.25">
      <c r="A632" s="80"/>
      <c r="B632" s="82"/>
    </row>
    <row r="633" spans="1:2" ht="108" customHeight="1" x14ac:dyDescent="0.25">
      <c r="A633" s="80"/>
      <c r="B633" s="82"/>
    </row>
    <row r="634" spans="1:2" ht="108" customHeight="1" x14ac:dyDescent="0.25">
      <c r="A634" s="80"/>
      <c r="B634" s="82"/>
    </row>
    <row r="635" spans="1:2" ht="108" customHeight="1" x14ac:dyDescent="0.25">
      <c r="A635" s="80"/>
      <c r="B635" s="82"/>
    </row>
    <row r="636" spans="1:2" ht="108" customHeight="1" x14ac:dyDescent="0.25">
      <c r="A636" s="80"/>
      <c r="B636" s="82"/>
    </row>
    <row r="637" spans="1:2" ht="108" customHeight="1" x14ac:dyDescent="0.25">
      <c r="A637" s="80"/>
      <c r="B637" s="82"/>
    </row>
    <row r="638" spans="1:2" ht="108" customHeight="1" x14ac:dyDescent="0.25">
      <c r="A638" s="80"/>
      <c r="B638" s="82"/>
    </row>
    <row r="639" spans="1:2" ht="108" customHeight="1" x14ac:dyDescent="0.25">
      <c r="A639" s="80"/>
      <c r="B639" s="82"/>
    </row>
    <row r="640" spans="1:2" ht="108" customHeight="1" x14ac:dyDescent="0.25">
      <c r="A640" s="80"/>
      <c r="B640" s="82"/>
    </row>
    <row r="641" spans="1:2" ht="108" customHeight="1" x14ac:dyDescent="0.25">
      <c r="A641" s="80"/>
      <c r="B641" s="82"/>
    </row>
    <row r="642" spans="1:2" ht="108" customHeight="1" x14ac:dyDescent="0.25">
      <c r="A642" s="80"/>
      <c r="B642" s="82"/>
    </row>
    <row r="643" spans="1:2" ht="108" customHeight="1" x14ac:dyDescent="0.25">
      <c r="A643" s="80"/>
      <c r="B643" s="82"/>
    </row>
    <row r="644" spans="1:2" ht="108" customHeight="1" x14ac:dyDescent="0.25">
      <c r="A644" s="80"/>
      <c r="B644" s="82"/>
    </row>
    <row r="645" spans="1:2" ht="108" customHeight="1" x14ac:dyDescent="0.25">
      <c r="A645" s="80"/>
      <c r="B645" s="82"/>
    </row>
    <row r="646" spans="1:2" ht="108" customHeight="1" x14ac:dyDescent="0.25">
      <c r="A646" s="80"/>
      <c r="B646" s="82"/>
    </row>
    <row r="647" spans="1:2" ht="108" customHeight="1" x14ac:dyDescent="0.25">
      <c r="A647" s="80"/>
      <c r="B647" s="82"/>
    </row>
    <row r="648" spans="1:2" ht="108" customHeight="1" x14ac:dyDescent="0.25">
      <c r="A648" s="80"/>
      <c r="B648" s="82"/>
    </row>
    <row r="649" spans="1:2" ht="108" customHeight="1" x14ac:dyDescent="0.25">
      <c r="A649" s="80"/>
      <c r="B649" s="82"/>
    </row>
    <row r="650" spans="1:2" ht="108" customHeight="1" x14ac:dyDescent="0.25">
      <c r="A650" s="80"/>
      <c r="B650" s="82"/>
    </row>
    <row r="651" spans="1:2" ht="108" customHeight="1" x14ac:dyDescent="0.25">
      <c r="A651" s="80"/>
      <c r="B651" s="82"/>
    </row>
    <row r="652" spans="1:2" ht="108" customHeight="1" x14ac:dyDescent="0.25">
      <c r="A652" s="80"/>
      <c r="B652" s="82"/>
    </row>
    <row r="653" spans="1:2" ht="108" customHeight="1" x14ac:dyDescent="0.25">
      <c r="A653" s="80"/>
      <c r="B653" s="82"/>
    </row>
    <row r="654" spans="1:2" ht="108" customHeight="1" x14ac:dyDescent="0.25">
      <c r="A654" s="80"/>
      <c r="B654" s="82"/>
    </row>
    <row r="655" spans="1:2" ht="108" customHeight="1" x14ac:dyDescent="0.25">
      <c r="A655" s="80"/>
      <c r="B655" s="82"/>
    </row>
    <row r="656" spans="1:2" ht="108" customHeight="1" x14ac:dyDescent="0.25">
      <c r="A656" s="80"/>
      <c r="B656" s="82"/>
    </row>
    <row r="657" spans="1:2" ht="108" customHeight="1" x14ac:dyDescent="0.25">
      <c r="A657" s="80"/>
      <c r="B657" s="82"/>
    </row>
    <row r="658" spans="1:2" ht="108" customHeight="1" x14ac:dyDescent="0.25">
      <c r="A658" s="80"/>
      <c r="B658" s="82"/>
    </row>
    <row r="659" spans="1:2" ht="108" customHeight="1" x14ac:dyDescent="0.25">
      <c r="A659" s="80"/>
      <c r="B659" s="82"/>
    </row>
    <row r="660" spans="1:2" ht="108" customHeight="1" x14ac:dyDescent="0.25">
      <c r="A660" s="80"/>
      <c r="B660" s="82"/>
    </row>
    <row r="661" spans="1:2" ht="108" customHeight="1" x14ac:dyDescent="0.25">
      <c r="A661" s="80"/>
      <c r="B661" s="82"/>
    </row>
    <row r="662" spans="1:2" ht="108" customHeight="1" x14ac:dyDescent="0.25">
      <c r="A662" s="80"/>
      <c r="B662" s="82"/>
    </row>
    <row r="663" spans="1:2" ht="108" customHeight="1" x14ac:dyDescent="0.25">
      <c r="A663" s="80"/>
      <c r="B663" s="82"/>
    </row>
    <row r="664" spans="1:2" ht="108" customHeight="1" x14ac:dyDescent="0.25">
      <c r="A664" s="80"/>
      <c r="B664" s="82"/>
    </row>
    <row r="665" spans="1:2" ht="108" customHeight="1" x14ac:dyDescent="0.25">
      <c r="A665" s="80"/>
      <c r="B665" s="82"/>
    </row>
    <row r="666" spans="1:2" ht="108" customHeight="1" x14ac:dyDescent="0.25">
      <c r="A666" s="80"/>
      <c r="B666" s="82"/>
    </row>
    <row r="667" spans="1:2" ht="108" customHeight="1" x14ac:dyDescent="0.25">
      <c r="A667" s="80"/>
      <c r="B667" s="82"/>
    </row>
    <row r="668" spans="1:2" ht="108" customHeight="1" x14ac:dyDescent="0.25">
      <c r="A668" s="80"/>
      <c r="B668" s="82"/>
    </row>
    <row r="669" spans="1:2" ht="108" customHeight="1" x14ac:dyDescent="0.25">
      <c r="A669" s="80"/>
      <c r="B669" s="82"/>
    </row>
    <row r="670" spans="1:2" ht="108" customHeight="1" x14ac:dyDescent="0.25">
      <c r="A670" s="80"/>
      <c r="B670" s="82"/>
    </row>
    <row r="671" spans="1:2" ht="108" customHeight="1" x14ac:dyDescent="0.25">
      <c r="A671" s="80"/>
      <c r="B671" s="82"/>
    </row>
    <row r="672" spans="1:2" ht="108" customHeight="1" x14ac:dyDescent="0.25">
      <c r="A672" s="80"/>
      <c r="B672" s="82"/>
    </row>
    <row r="673" spans="1:2" ht="108" customHeight="1" x14ac:dyDescent="0.25">
      <c r="A673" s="80"/>
      <c r="B673" s="82"/>
    </row>
    <row r="674" spans="1:2" ht="108" customHeight="1" x14ac:dyDescent="0.25">
      <c r="A674" s="80"/>
      <c r="B674" s="82"/>
    </row>
    <row r="675" spans="1:2" ht="108" customHeight="1" x14ac:dyDescent="0.25">
      <c r="A675" s="80"/>
      <c r="B675" s="82"/>
    </row>
    <row r="676" spans="1:2" ht="108" customHeight="1" x14ac:dyDescent="0.25">
      <c r="A676" s="80"/>
      <c r="B676" s="82"/>
    </row>
    <row r="677" spans="1:2" ht="108" customHeight="1" x14ac:dyDescent="0.25">
      <c r="A677" s="80"/>
      <c r="B677" s="82"/>
    </row>
    <row r="678" spans="1:2" ht="108" customHeight="1" x14ac:dyDescent="0.25">
      <c r="A678" s="80"/>
      <c r="B678" s="82"/>
    </row>
    <row r="679" spans="1:2" ht="108" customHeight="1" x14ac:dyDescent="0.25">
      <c r="A679" s="80"/>
      <c r="B679" s="82"/>
    </row>
    <row r="680" spans="1:2" ht="108" customHeight="1" x14ac:dyDescent="0.25">
      <c r="A680" s="80"/>
      <c r="B680" s="82"/>
    </row>
    <row r="681" spans="1:2" ht="108" customHeight="1" x14ac:dyDescent="0.25">
      <c r="A681" s="80"/>
      <c r="B681" s="82"/>
    </row>
    <row r="682" spans="1:2" ht="108" customHeight="1" x14ac:dyDescent="0.25">
      <c r="A682" s="80"/>
      <c r="B682" s="82"/>
    </row>
    <row r="683" spans="1:2" ht="108" customHeight="1" x14ac:dyDescent="0.25">
      <c r="A683" s="80"/>
      <c r="B683" s="82"/>
    </row>
    <row r="684" spans="1:2" ht="108" customHeight="1" x14ac:dyDescent="0.25">
      <c r="A684" s="80"/>
      <c r="B684" s="82"/>
    </row>
    <row r="685" spans="1:2" ht="108" customHeight="1" x14ac:dyDescent="0.25">
      <c r="A685" s="80"/>
      <c r="B685" s="82"/>
    </row>
    <row r="686" spans="1:2" ht="108" customHeight="1" x14ac:dyDescent="0.25">
      <c r="A686" s="80"/>
      <c r="B686" s="82"/>
    </row>
    <row r="687" spans="1:2" ht="108" customHeight="1" x14ac:dyDescent="0.25">
      <c r="A687" s="80"/>
      <c r="B687" s="82"/>
    </row>
    <row r="688" spans="1:2" ht="108" customHeight="1" x14ac:dyDescent="0.25">
      <c r="A688" s="80"/>
      <c r="B688" s="82"/>
    </row>
    <row r="689" spans="1:2" ht="108" customHeight="1" x14ac:dyDescent="0.25">
      <c r="A689" s="80"/>
      <c r="B689" s="82"/>
    </row>
    <row r="690" spans="1:2" ht="108" customHeight="1" x14ac:dyDescent="0.25">
      <c r="A690" s="80"/>
      <c r="B690" s="82"/>
    </row>
    <row r="691" spans="1:2" ht="108" customHeight="1" x14ac:dyDescent="0.25">
      <c r="A691" s="80"/>
      <c r="B691" s="82"/>
    </row>
    <row r="692" spans="1:2" ht="108" customHeight="1" x14ac:dyDescent="0.25">
      <c r="A692" s="80"/>
      <c r="B692" s="82"/>
    </row>
    <row r="693" spans="1:2" ht="108" customHeight="1" x14ac:dyDescent="0.25">
      <c r="A693" s="80"/>
      <c r="B693" s="82"/>
    </row>
    <row r="694" spans="1:2" ht="108" customHeight="1" x14ac:dyDescent="0.25">
      <c r="A694" s="80"/>
      <c r="B694" s="82"/>
    </row>
    <row r="695" spans="1:2" ht="108" customHeight="1" x14ac:dyDescent="0.25">
      <c r="A695" s="80"/>
      <c r="B695" s="82"/>
    </row>
    <row r="696" spans="1:2" ht="108" customHeight="1" x14ac:dyDescent="0.25">
      <c r="A696" s="80"/>
      <c r="B696" s="82"/>
    </row>
    <row r="697" spans="1:2" ht="108" customHeight="1" x14ac:dyDescent="0.25">
      <c r="A697" s="80"/>
      <c r="B697" s="82"/>
    </row>
    <row r="698" spans="1:2" ht="108" customHeight="1" x14ac:dyDescent="0.25">
      <c r="A698" s="80"/>
      <c r="B698" s="82"/>
    </row>
    <row r="699" spans="1:2" ht="108" customHeight="1" x14ac:dyDescent="0.25">
      <c r="A699" s="80"/>
      <c r="B699" s="82"/>
    </row>
    <row r="700" spans="1:2" ht="108" customHeight="1" x14ac:dyDescent="0.25">
      <c r="A700" s="80"/>
      <c r="B700" s="82"/>
    </row>
    <row r="701" spans="1:2" ht="108" customHeight="1" x14ac:dyDescent="0.25">
      <c r="A701" s="80"/>
      <c r="B701" s="82"/>
    </row>
    <row r="702" spans="1:2" ht="108" customHeight="1" x14ac:dyDescent="0.25">
      <c r="A702" s="80"/>
      <c r="B702" s="82"/>
    </row>
    <row r="703" spans="1:2" ht="108" customHeight="1" x14ac:dyDescent="0.25">
      <c r="A703" s="80"/>
      <c r="B703" s="82"/>
    </row>
    <row r="704" spans="1:2" ht="108" customHeight="1" x14ac:dyDescent="0.25">
      <c r="A704" s="80"/>
      <c r="B704" s="82"/>
    </row>
    <row r="705" spans="1:2" ht="108" customHeight="1" x14ac:dyDescent="0.25">
      <c r="A705" s="80"/>
      <c r="B705" s="82"/>
    </row>
    <row r="706" spans="1:2" ht="108" customHeight="1" x14ac:dyDescent="0.25">
      <c r="A706" s="80"/>
      <c r="B706" s="82"/>
    </row>
    <row r="707" spans="1:2" ht="108" customHeight="1" x14ac:dyDescent="0.25">
      <c r="A707" s="80"/>
      <c r="B707" s="82"/>
    </row>
    <row r="708" spans="1:2" ht="108" customHeight="1" x14ac:dyDescent="0.25">
      <c r="A708" s="80"/>
      <c r="B708" s="82"/>
    </row>
    <row r="709" spans="1:2" ht="108" customHeight="1" x14ac:dyDescent="0.25">
      <c r="A709" s="80"/>
      <c r="B709" s="82"/>
    </row>
    <row r="710" spans="1:2" ht="108" customHeight="1" x14ac:dyDescent="0.25">
      <c r="A710" s="80"/>
      <c r="B710" s="82"/>
    </row>
    <row r="711" spans="1:2" ht="108" customHeight="1" x14ac:dyDescent="0.25">
      <c r="A711" s="80"/>
      <c r="B711" s="82"/>
    </row>
    <row r="712" spans="1:2" ht="108" customHeight="1" x14ac:dyDescent="0.25">
      <c r="A712" s="80"/>
      <c r="B712" s="82"/>
    </row>
    <row r="713" spans="1:2" ht="108" customHeight="1" x14ac:dyDescent="0.25">
      <c r="A713" s="80"/>
      <c r="B713" s="82"/>
    </row>
    <row r="714" spans="1:2" ht="108" customHeight="1" x14ac:dyDescent="0.25">
      <c r="A714" s="80"/>
      <c r="B714" s="82"/>
    </row>
    <row r="715" spans="1:2" ht="108" customHeight="1" x14ac:dyDescent="0.25">
      <c r="A715" s="80"/>
      <c r="B715" s="82"/>
    </row>
    <row r="716" spans="1:2" ht="108" customHeight="1" x14ac:dyDescent="0.25">
      <c r="A716" s="80"/>
      <c r="B716" s="82"/>
    </row>
    <row r="717" spans="1:2" ht="108" customHeight="1" x14ac:dyDescent="0.25">
      <c r="A717" s="80"/>
      <c r="B717" s="82"/>
    </row>
    <row r="718" spans="1:2" ht="108" customHeight="1" x14ac:dyDescent="0.25">
      <c r="A718" s="80"/>
      <c r="B718" s="82"/>
    </row>
    <row r="719" spans="1:2" ht="108" customHeight="1" x14ac:dyDescent="0.25">
      <c r="A719" s="80"/>
      <c r="B719" s="82"/>
    </row>
    <row r="720" spans="1:2" ht="108" customHeight="1" x14ac:dyDescent="0.25">
      <c r="A720" s="80"/>
      <c r="B720" s="82"/>
    </row>
    <row r="721" spans="1:2" ht="108" customHeight="1" x14ac:dyDescent="0.25">
      <c r="A721" s="80"/>
      <c r="B721" s="82"/>
    </row>
    <row r="722" spans="1:2" ht="108" customHeight="1" x14ac:dyDescent="0.25">
      <c r="A722" s="80"/>
      <c r="B722" s="82"/>
    </row>
    <row r="723" spans="1:2" ht="108" customHeight="1" x14ac:dyDescent="0.25">
      <c r="A723" s="80"/>
      <c r="B723" s="82"/>
    </row>
    <row r="724" spans="1:2" ht="108" customHeight="1" x14ac:dyDescent="0.25">
      <c r="A724" s="80"/>
      <c r="B724" s="82"/>
    </row>
    <row r="725" spans="1:2" ht="108" customHeight="1" x14ac:dyDescent="0.25">
      <c r="A725" s="80"/>
      <c r="B725" s="82"/>
    </row>
    <row r="726" spans="1:2" ht="108" customHeight="1" x14ac:dyDescent="0.25">
      <c r="A726" s="80"/>
      <c r="B726" s="82"/>
    </row>
    <row r="727" spans="1:2" ht="108" customHeight="1" x14ac:dyDescent="0.25">
      <c r="A727" s="80"/>
      <c r="B727" s="82"/>
    </row>
    <row r="728" spans="1:2" ht="108" customHeight="1" x14ac:dyDescent="0.25">
      <c r="A728" s="80"/>
      <c r="B728" s="82"/>
    </row>
    <row r="729" spans="1:2" ht="108" customHeight="1" x14ac:dyDescent="0.25">
      <c r="A729" s="80"/>
      <c r="B729" s="82"/>
    </row>
    <row r="730" spans="1:2" ht="108" customHeight="1" x14ac:dyDescent="0.25">
      <c r="A730" s="80"/>
      <c r="B730" s="82"/>
    </row>
    <row r="731" spans="1:2" ht="108" customHeight="1" x14ac:dyDescent="0.25">
      <c r="A731" s="80"/>
      <c r="B731" s="82"/>
    </row>
    <row r="732" spans="1:2" ht="108" customHeight="1" x14ac:dyDescent="0.25">
      <c r="A732" s="80"/>
      <c r="B732" s="82"/>
    </row>
    <row r="733" spans="1:2" ht="108" customHeight="1" x14ac:dyDescent="0.25">
      <c r="A733" s="80"/>
      <c r="B733" s="82"/>
    </row>
    <row r="734" spans="1:2" ht="108" customHeight="1" x14ac:dyDescent="0.25">
      <c r="A734" s="80"/>
      <c r="B734" s="82"/>
    </row>
    <row r="735" spans="1:2" ht="108" customHeight="1" x14ac:dyDescent="0.25">
      <c r="A735" s="80"/>
      <c r="B735" s="82"/>
    </row>
    <row r="736" spans="1:2" ht="108" customHeight="1" x14ac:dyDescent="0.25">
      <c r="A736" s="80"/>
      <c r="B736" s="82"/>
    </row>
    <row r="737" spans="1:2" ht="108" customHeight="1" x14ac:dyDescent="0.25">
      <c r="A737" s="80"/>
      <c r="B737" s="82"/>
    </row>
    <row r="738" spans="1:2" ht="108" customHeight="1" x14ac:dyDescent="0.25">
      <c r="A738" s="80"/>
      <c r="B738" s="82"/>
    </row>
    <row r="739" spans="1:2" ht="108" customHeight="1" x14ac:dyDescent="0.25">
      <c r="A739" s="80"/>
      <c r="B739" s="82"/>
    </row>
    <row r="740" spans="1:2" ht="108" customHeight="1" x14ac:dyDescent="0.25">
      <c r="A740" s="80"/>
      <c r="B740" s="82"/>
    </row>
    <row r="741" spans="1:2" ht="108" customHeight="1" x14ac:dyDescent="0.25">
      <c r="A741" s="80"/>
      <c r="B741" s="82"/>
    </row>
    <row r="742" spans="1:2" ht="108" customHeight="1" x14ac:dyDescent="0.25">
      <c r="A742" s="80"/>
      <c r="B742" s="82"/>
    </row>
    <row r="743" spans="1:2" ht="108" customHeight="1" x14ac:dyDescent="0.25">
      <c r="A743" s="80"/>
      <c r="B743" s="82"/>
    </row>
    <row r="744" spans="1:2" ht="108" customHeight="1" x14ac:dyDescent="0.25">
      <c r="A744" s="80"/>
      <c r="B744" s="82"/>
    </row>
    <row r="745" spans="1:2" ht="108" customHeight="1" x14ac:dyDescent="0.25">
      <c r="A745" s="80"/>
      <c r="B745" s="82"/>
    </row>
    <row r="746" spans="1:2" ht="108" customHeight="1" x14ac:dyDescent="0.25">
      <c r="A746" s="80"/>
      <c r="B746" s="82"/>
    </row>
    <row r="747" spans="1:2" ht="108" customHeight="1" x14ac:dyDescent="0.25">
      <c r="A747" s="80"/>
      <c r="B747" s="82"/>
    </row>
    <row r="748" spans="1:2" ht="108" customHeight="1" x14ac:dyDescent="0.25">
      <c r="A748" s="80"/>
      <c r="B748" s="82"/>
    </row>
    <row r="749" spans="1:2" ht="108" customHeight="1" x14ac:dyDescent="0.25">
      <c r="A749" s="80"/>
      <c r="B749" s="82"/>
    </row>
    <row r="750" spans="1:2" ht="108" customHeight="1" x14ac:dyDescent="0.25">
      <c r="A750" s="80"/>
      <c r="B750" s="82"/>
    </row>
    <row r="751" spans="1:2" ht="108" customHeight="1" x14ac:dyDescent="0.25">
      <c r="A751" s="80"/>
      <c r="B751" s="82"/>
    </row>
    <row r="752" spans="1:2" ht="108" customHeight="1" x14ac:dyDescent="0.25">
      <c r="A752" s="80"/>
      <c r="B752" s="82"/>
    </row>
    <row r="753" spans="1:2" ht="108" customHeight="1" x14ac:dyDescent="0.25">
      <c r="A753" s="80"/>
      <c r="B753" s="82"/>
    </row>
    <row r="754" spans="1:2" ht="108" customHeight="1" x14ac:dyDescent="0.25">
      <c r="A754" s="80"/>
      <c r="B754" s="82"/>
    </row>
    <row r="755" spans="1:2" ht="108" customHeight="1" x14ac:dyDescent="0.25">
      <c r="A755" s="80"/>
      <c r="B755" s="82"/>
    </row>
    <row r="756" spans="1:2" ht="108" customHeight="1" x14ac:dyDescent="0.25">
      <c r="A756" s="80"/>
      <c r="B756" s="82"/>
    </row>
    <row r="757" spans="1:2" ht="108" customHeight="1" x14ac:dyDescent="0.25">
      <c r="A757" s="80"/>
      <c r="B757" s="82"/>
    </row>
    <row r="758" spans="1:2" ht="108" customHeight="1" x14ac:dyDescent="0.25">
      <c r="A758" s="80"/>
      <c r="B758" s="82"/>
    </row>
    <row r="759" spans="1:2" ht="108" customHeight="1" x14ac:dyDescent="0.25">
      <c r="A759" s="80"/>
      <c r="B759" s="82"/>
    </row>
    <row r="760" spans="1:2" ht="108" customHeight="1" x14ac:dyDescent="0.25">
      <c r="A760" s="80"/>
      <c r="B760" s="82"/>
    </row>
    <row r="761" spans="1:2" ht="108" customHeight="1" x14ac:dyDescent="0.25">
      <c r="A761" s="80"/>
      <c r="B761" s="82"/>
    </row>
    <row r="762" spans="1:2" ht="108" customHeight="1" x14ac:dyDescent="0.25">
      <c r="A762" s="80"/>
      <c r="B762" s="82"/>
    </row>
    <row r="763" spans="1:2" ht="108" customHeight="1" x14ac:dyDescent="0.25">
      <c r="A763" s="80"/>
      <c r="B763" s="82"/>
    </row>
    <row r="764" spans="1:2" ht="108" customHeight="1" x14ac:dyDescent="0.25">
      <c r="A764" s="80"/>
      <c r="B764" s="82"/>
    </row>
    <row r="765" spans="1:2" ht="108" customHeight="1" x14ac:dyDescent="0.25">
      <c r="A765" s="80"/>
      <c r="B765" s="82"/>
    </row>
    <row r="766" spans="1:2" ht="108" customHeight="1" x14ac:dyDescent="0.25">
      <c r="A766" s="80"/>
      <c r="B766" s="82"/>
    </row>
    <row r="767" spans="1:2" ht="108" customHeight="1" x14ac:dyDescent="0.25">
      <c r="A767" s="80"/>
      <c r="B767" s="82"/>
    </row>
    <row r="768" spans="1:2" ht="108" customHeight="1" x14ac:dyDescent="0.25">
      <c r="A768" s="80"/>
      <c r="B768" s="82"/>
    </row>
    <row r="769" spans="1:2" ht="108" customHeight="1" x14ac:dyDescent="0.25">
      <c r="A769" s="80"/>
      <c r="B769" s="82"/>
    </row>
    <row r="770" spans="1:2" ht="108" customHeight="1" x14ac:dyDescent="0.25">
      <c r="A770" s="80"/>
      <c r="B770" s="82"/>
    </row>
    <row r="771" spans="1:2" ht="108" customHeight="1" x14ac:dyDescent="0.25">
      <c r="A771" s="80"/>
      <c r="B771" s="82"/>
    </row>
    <row r="772" spans="1:2" ht="108" customHeight="1" x14ac:dyDescent="0.25">
      <c r="A772" s="80"/>
      <c r="B772" s="82"/>
    </row>
    <row r="773" spans="1:2" ht="108" customHeight="1" x14ac:dyDescent="0.25">
      <c r="A773" s="80"/>
      <c r="B773" s="82"/>
    </row>
    <row r="774" spans="1:2" ht="108" customHeight="1" x14ac:dyDescent="0.25">
      <c r="A774" s="80"/>
      <c r="B774" s="82"/>
    </row>
    <row r="775" spans="1:2" ht="108" customHeight="1" x14ac:dyDescent="0.25">
      <c r="A775" s="80"/>
      <c r="B775" s="82"/>
    </row>
    <row r="776" spans="1:2" ht="108" customHeight="1" x14ac:dyDescent="0.25">
      <c r="A776" s="80"/>
      <c r="B776" s="82"/>
    </row>
    <row r="777" spans="1:2" ht="108" customHeight="1" x14ac:dyDescent="0.25">
      <c r="A777" s="80"/>
      <c r="B777" s="82"/>
    </row>
    <row r="778" spans="1:2" ht="108" customHeight="1" x14ac:dyDescent="0.25">
      <c r="A778" s="80"/>
      <c r="B778" s="82"/>
    </row>
    <row r="779" spans="1:2" ht="108" customHeight="1" x14ac:dyDescent="0.25">
      <c r="A779" s="80"/>
      <c r="B779" s="82"/>
    </row>
    <row r="780" spans="1:2" ht="108" customHeight="1" x14ac:dyDescent="0.25">
      <c r="A780" s="80"/>
      <c r="B780" s="82"/>
    </row>
    <row r="781" spans="1:2" ht="108" customHeight="1" x14ac:dyDescent="0.25">
      <c r="A781" s="80"/>
      <c r="B781" s="82"/>
    </row>
    <row r="782" spans="1:2" ht="108" customHeight="1" x14ac:dyDescent="0.25">
      <c r="A782" s="80"/>
      <c r="B782" s="82"/>
    </row>
    <row r="783" spans="1:2" ht="108" customHeight="1" x14ac:dyDescent="0.25">
      <c r="A783" s="80"/>
      <c r="B783" s="82"/>
    </row>
    <row r="784" spans="1:2" ht="108" customHeight="1" x14ac:dyDescent="0.25">
      <c r="A784" s="80"/>
      <c r="B784" s="82"/>
    </row>
    <row r="785" spans="1:2" ht="108" customHeight="1" x14ac:dyDescent="0.25">
      <c r="A785" s="80"/>
      <c r="B785" s="82"/>
    </row>
    <row r="786" spans="1:2" ht="108" customHeight="1" x14ac:dyDescent="0.25">
      <c r="A786" s="80"/>
      <c r="B786" s="82"/>
    </row>
    <row r="787" spans="1:2" ht="108" customHeight="1" x14ac:dyDescent="0.25">
      <c r="A787" s="80"/>
      <c r="B787" s="82"/>
    </row>
    <row r="788" spans="1:2" ht="108" customHeight="1" x14ac:dyDescent="0.25">
      <c r="A788" s="80"/>
      <c r="B788" s="82"/>
    </row>
    <row r="789" spans="1:2" ht="108" customHeight="1" x14ac:dyDescent="0.25">
      <c r="A789" s="80"/>
      <c r="B789" s="82"/>
    </row>
    <row r="790" spans="1:2" ht="108" customHeight="1" x14ac:dyDescent="0.25">
      <c r="A790" s="80"/>
      <c r="B790" s="82"/>
    </row>
    <row r="791" spans="1:2" ht="108" customHeight="1" x14ac:dyDescent="0.25">
      <c r="A791" s="80"/>
      <c r="B791" s="82"/>
    </row>
    <row r="792" spans="1:2" ht="108" customHeight="1" x14ac:dyDescent="0.25">
      <c r="A792" s="80"/>
      <c r="B792" s="82"/>
    </row>
    <row r="793" spans="1:2" ht="108" customHeight="1" x14ac:dyDescent="0.25">
      <c r="A793" s="80"/>
      <c r="B793" s="82"/>
    </row>
    <row r="794" spans="1:2" ht="108" customHeight="1" x14ac:dyDescent="0.25">
      <c r="A794" s="80"/>
      <c r="B794" s="82"/>
    </row>
    <row r="795" spans="1:2" ht="108" customHeight="1" x14ac:dyDescent="0.25">
      <c r="A795" s="80"/>
      <c r="B795" s="82"/>
    </row>
    <row r="796" spans="1:2" ht="108" customHeight="1" x14ac:dyDescent="0.25">
      <c r="A796" s="80"/>
      <c r="B796" s="82"/>
    </row>
    <row r="797" spans="1:2" ht="108" customHeight="1" x14ac:dyDescent="0.25">
      <c r="A797" s="80"/>
      <c r="B797" s="82"/>
    </row>
    <row r="798" spans="1:2" ht="108" customHeight="1" x14ac:dyDescent="0.25">
      <c r="A798" s="80"/>
      <c r="B798" s="82"/>
    </row>
    <row r="799" spans="1:2" ht="108" customHeight="1" x14ac:dyDescent="0.25">
      <c r="A799" s="80"/>
      <c r="B799" s="82"/>
    </row>
    <row r="800" spans="1:2" ht="108" customHeight="1" x14ac:dyDescent="0.25">
      <c r="A800" s="80"/>
      <c r="B800" s="82"/>
    </row>
    <row r="801" spans="1:2" ht="108" customHeight="1" x14ac:dyDescent="0.25">
      <c r="A801" s="80"/>
      <c r="B801" s="82"/>
    </row>
    <row r="802" spans="1:2" ht="108" customHeight="1" x14ac:dyDescent="0.25">
      <c r="A802" s="80"/>
      <c r="B802" s="82"/>
    </row>
    <row r="803" spans="1:2" ht="108" customHeight="1" x14ac:dyDescent="0.25">
      <c r="A803" s="80"/>
      <c r="B803" s="82"/>
    </row>
    <row r="804" spans="1:2" ht="108" customHeight="1" x14ac:dyDescent="0.25">
      <c r="A804" s="80"/>
      <c r="B804" s="82"/>
    </row>
    <row r="805" spans="1:2" ht="108" customHeight="1" x14ac:dyDescent="0.25">
      <c r="A805" s="80"/>
      <c r="B805" s="82"/>
    </row>
    <row r="806" spans="1:2" ht="108" customHeight="1" x14ac:dyDescent="0.25">
      <c r="A806" s="80"/>
      <c r="B806" s="82"/>
    </row>
    <row r="807" spans="1:2" ht="108" customHeight="1" x14ac:dyDescent="0.25">
      <c r="A807" s="80"/>
      <c r="B807" s="82"/>
    </row>
    <row r="808" spans="1:2" ht="108" customHeight="1" x14ac:dyDescent="0.25">
      <c r="A808" s="80"/>
      <c r="B808" s="82"/>
    </row>
    <row r="809" spans="1:2" ht="108" customHeight="1" x14ac:dyDescent="0.25">
      <c r="A809" s="80"/>
      <c r="B809" s="82"/>
    </row>
    <row r="810" spans="1:2" ht="108" customHeight="1" x14ac:dyDescent="0.25">
      <c r="A810" s="80"/>
      <c r="B810" s="82"/>
    </row>
    <row r="811" spans="1:2" ht="108" customHeight="1" x14ac:dyDescent="0.25">
      <c r="A811" s="80"/>
      <c r="B811" s="82"/>
    </row>
    <row r="812" spans="1:2" ht="108" customHeight="1" x14ac:dyDescent="0.25">
      <c r="A812" s="80"/>
      <c r="B812" s="82"/>
    </row>
    <row r="813" spans="1:2" ht="108" customHeight="1" x14ac:dyDescent="0.25">
      <c r="A813" s="80"/>
      <c r="B813" s="82"/>
    </row>
    <row r="814" spans="1:2" ht="108" customHeight="1" x14ac:dyDescent="0.25">
      <c r="A814" s="80"/>
      <c r="B814" s="82"/>
    </row>
    <row r="815" spans="1:2" ht="108" customHeight="1" x14ac:dyDescent="0.25">
      <c r="A815" s="80"/>
      <c r="B815" s="82"/>
    </row>
    <row r="816" spans="1:2" ht="108" customHeight="1" x14ac:dyDescent="0.25">
      <c r="A816" s="80"/>
      <c r="B816" s="82"/>
    </row>
    <row r="817" spans="1:2" ht="108" customHeight="1" x14ac:dyDescent="0.25">
      <c r="A817" s="80"/>
      <c r="B817" s="82"/>
    </row>
    <row r="818" spans="1:2" ht="108" customHeight="1" x14ac:dyDescent="0.25">
      <c r="A818" s="80"/>
      <c r="B818" s="82"/>
    </row>
    <row r="819" spans="1:2" ht="108" customHeight="1" x14ac:dyDescent="0.25">
      <c r="A819" s="80"/>
      <c r="B819" s="82"/>
    </row>
    <row r="820" spans="1:2" ht="108" customHeight="1" x14ac:dyDescent="0.25">
      <c r="A820" s="80"/>
      <c r="B820" s="82"/>
    </row>
    <row r="821" spans="1:2" ht="108" customHeight="1" x14ac:dyDescent="0.25">
      <c r="A821" s="80"/>
      <c r="B821" s="82"/>
    </row>
    <row r="822" spans="1:2" ht="108" customHeight="1" x14ac:dyDescent="0.25">
      <c r="A822" s="80"/>
      <c r="B822" s="82"/>
    </row>
    <row r="823" spans="1:2" ht="108" customHeight="1" x14ac:dyDescent="0.25">
      <c r="A823" s="80"/>
      <c r="B823" s="82"/>
    </row>
    <row r="824" spans="1:2" ht="108" customHeight="1" x14ac:dyDescent="0.25">
      <c r="A824" s="80"/>
      <c r="B824" s="82"/>
    </row>
    <row r="825" spans="1:2" ht="108" customHeight="1" x14ac:dyDescent="0.25">
      <c r="A825" s="80"/>
      <c r="B825" s="82"/>
    </row>
    <row r="826" spans="1:2" ht="108" customHeight="1" x14ac:dyDescent="0.25">
      <c r="A826" s="80"/>
      <c r="B826" s="82"/>
    </row>
    <row r="827" spans="1:2" ht="108" customHeight="1" x14ac:dyDescent="0.25">
      <c r="A827" s="80"/>
      <c r="B827" s="82"/>
    </row>
    <row r="828" spans="1:2" ht="108" customHeight="1" x14ac:dyDescent="0.25">
      <c r="A828" s="80"/>
      <c r="B828" s="82"/>
    </row>
    <row r="829" spans="1:2" ht="108" customHeight="1" x14ac:dyDescent="0.25">
      <c r="A829" s="80"/>
      <c r="B829" s="82"/>
    </row>
    <row r="830" spans="1:2" ht="108" customHeight="1" x14ac:dyDescent="0.25">
      <c r="A830" s="80"/>
      <c r="B830" s="82"/>
    </row>
    <row r="831" spans="1:2" ht="108" customHeight="1" x14ac:dyDescent="0.25">
      <c r="A831" s="80"/>
      <c r="B831" s="82"/>
    </row>
    <row r="832" spans="1:2" ht="108" customHeight="1" x14ac:dyDescent="0.25">
      <c r="A832" s="80"/>
      <c r="B832" s="82"/>
    </row>
    <row r="833" spans="1:2" ht="108" customHeight="1" x14ac:dyDescent="0.25">
      <c r="A833" s="80"/>
      <c r="B833" s="82"/>
    </row>
    <row r="834" spans="1:2" ht="108" customHeight="1" x14ac:dyDescent="0.25">
      <c r="A834" s="80"/>
      <c r="B834" s="82"/>
    </row>
    <row r="835" spans="1:2" ht="108" customHeight="1" x14ac:dyDescent="0.25">
      <c r="A835" s="80"/>
      <c r="B835" s="82"/>
    </row>
    <row r="836" spans="1:2" ht="108" customHeight="1" x14ac:dyDescent="0.25">
      <c r="A836" s="80"/>
      <c r="B836" s="82"/>
    </row>
    <row r="837" spans="1:2" ht="108" customHeight="1" x14ac:dyDescent="0.25">
      <c r="A837" s="80"/>
      <c r="B837" s="82"/>
    </row>
    <row r="838" spans="1:2" ht="108" customHeight="1" x14ac:dyDescent="0.25">
      <c r="A838" s="80"/>
      <c r="B838" s="82"/>
    </row>
    <row r="839" spans="1:2" ht="108" customHeight="1" x14ac:dyDescent="0.25">
      <c r="A839" s="80"/>
      <c r="B839" s="82"/>
    </row>
    <row r="840" spans="1:2" ht="108" customHeight="1" x14ac:dyDescent="0.25">
      <c r="A840" s="80"/>
      <c r="B840" s="82"/>
    </row>
    <row r="841" spans="1:2" ht="108" customHeight="1" x14ac:dyDescent="0.25">
      <c r="A841" s="80"/>
      <c r="B841" s="82"/>
    </row>
    <row r="842" spans="1:2" ht="108" customHeight="1" x14ac:dyDescent="0.25">
      <c r="A842" s="80"/>
      <c r="B842" s="82"/>
    </row>
    <row r="843" spans="1:2" ht="108" customHeight="1" x14ac:dyDescent="0.25">
      <c r="A843" s="80"/>
      <c r="B843" s="82"/>
    </row>
    <row r="844" spans="1:2" ht="108" customHeight="1" x14ac:dyDescent="0.25">
      <c r="A844" s="80"/>
      <c r="B844" s="82"/>
    </row>
    <row r="845" spans="1:2" ht="108" customHeight="1" x14ac:dyDescent="0.25">
      <c r="A845" s="80"/>
      <c r="B845" s="82"/>
    </row>
    <row r="846" spans="1:2" ht="108" customHeight="1" x14ac:dyDescent="0.25">
      <c r="A846" s="80"/>
      <c r="B846" s="82"/>
    </row>
    <row r="847" spans="1:2" ht="108" customHeight="1" x14ac:dyDescent="0.25">
      <c r="A847" s="80"/>
      <c r="B847" s="82"/>
    </row>
    <row r="848" spans="1:2" ht="108" customHeight="1" x14ac:dyDescent="0.25">
      <c r="A848" s="80"/>
      <c r="B848" s="82"/>
    </row>
    <row r="849" spans="1:2" ht="108" customHeight="1" x14ac:dyDescent="0.25">
      <c r="A849" s="80"/>
      <c r="B849" s="82"/>
    </row>
    <row r="850" spans="1:2" ht="108" customHeight="1" x14ac:dyDescent="0.25">
      <c r="A850" s="80"/>
      <c r="B850" s="82"/>
    </row>
    <row r="851" spans="1:2" ht="108" customHeight="1" x14ac:dyDescent="0.25">
      <c r="A851" s="80"/>
      <c r="B851" s="82"/>
    </row>
    <row r="852" spans="1:2" ht="108" customHeight="1" x14ac:dyDescent="0.25">
      <c r="A852" s="80"/>
      <c r="B852" s="82"/>
    </row>
    <row r="853" spans="1:2" ht="108" customHeight="1" x14ac:dyDescent="0.25">
      <c r="A853" s="80"/>
      <c r="B853" s="82"/>
    </row>
    <row r="854" spans="1:2" ht="108" customHeight="1" x14ac:dyDescent="0.25">
      <c r="A854" s="80"/>
      <c r="B854" s="82"/>
    </row>
    <row r="855" spans="1:2" ht="108" customHeight="1" x14ac:dyDescent="0.25">
      <c r="A855" s="80"/>
      <c r="B855" s="82"/>
    </row>
    <row r="856" spans="1:2" ht="108" customHeight="1" x14ac:dyDescent="0.25">
      <c r="A856" s="80"/>
      <c r="B856" s="82"/>
    </row>
    <row r="857" spans="1:2" ht="108" customHeight="1" x14ac:dyDescent="0.25">
      <c r="A857" s="80"/>
      <c r="B857" s="82"/>
    </row>
    <row r="858" spans="1:2" ht="108" customHeight="1" x14ac:dyDescent="0.25">
      <c r="A858" s="80"/>
      <c r="B858" s="82"/>
    </row>
    <row r="859" spans="1:2" ht="108" customHeight="1" x14ac:dyDescent="0.25">
      <c r="A859" s="80"/>
      <c r="B859" s="82"/>
    </row>
    <row r="860" spans="1:2" ht="108" customHeight="1" x14ac:dyDescent="0.25">
      <c r="A860" s="80"/>
      <c r="B860" s="82"/>
    </row>
    <row r="861" spans="1:2" ht="108" customHeight="1" x14ac:dyDescent="0.25">
      <c r="A861" s="80"/>
      <c r="B861" s="82"/>
    </row>
    <row r="862" spans="1:2" ht="108" customHeight="1" x14ac:dyDescent="0.25">
      <c r="A862" s="80"/>
      <c r="B862" s="82"/>
    </row>
    <row r="863" spans="1:2" ht="108" customHeight="1" x14ac:dyDescent="0.25">
      <c r="A863" s="80"/>
      <c r="B863" s="82"/>
    </row>
    <row r="864" spans="1:2" ht="108" customHeight="1" x14ac:dyDescent="0.25">
      <c r="A864" s="80"/>
      <c r="B864" s="82"/>
    </row>
    <row r="865" spans="1:2" ht="108" customHeight="1" x14ac:dyDescent="0.25">
      <c r="A865" s="80"/>
      <c r="B865" s="82"/>
    </row>
    <row r="866" spans="1:2" ht="108" customHeight="1" x14ac:dyDescent="0.25">
      <c r="A866" s="80"/>
      <c r="B866" s="82"/>
    </row>
    <row r="867" spans="1:2" ht="108" customHeight="1" x14ac:dyDescent="0.25">
      <c r="A867" s="80"/>
      <c r="B867" s="82"/>
    </row>
    <row r="868" spans="1:2" ht="108" customHeight="1" x14ac:dyDescent="0.25">
      <c r="A868" s="80"/>
      <c r="B868" s="82"/>
    </row>
    <row r="869" spans="1:2" ht="108" customHeight="1" x14ac:dyDescent="0.25">
      <c r="A869" s="80"/>
      <c r="B869" s="82"/>
    </row>
    <row r="870" spans="1:2" ht="108" customHeight="1" x14ac:dyDescent="0.25">
      <c r="A870" s="80"/>
      <c r="B870" s="82"/>
    </row>
    <row r="871" spans="1:2" ht="108" customHeight="1" x14ac:dyDescent="0.25">
      <c r="A871" s="80"/>
      <c r="B871" s="82"/>
    </row>
    <row r="872" spans="1:2" ht="108" customHeight="1" x14ac:dyDescent="0.25">
      <c r="A872" s="80"/>
      <c r="B872" s="82"/>
    </row>
    <row r="873" spans="1:2" ht="108" customHeight="1" x14ac:dyDescent="0.25">
      <c r="A873" s="80"/>
      <c r="B873" s="82"/>
    </row>
    <row r="874" spans="1:2" ht="108" customHeight="1" x14ac:dyDescent="0.25">
      <c r="A874" s="80"/>
      <c r="B874" s="82"/>
    </row>
    <row r="875" spans="1:2" ht="108" customHeight="1" x14ac:dyDescent="0.25">
      <c r="A875" s="80"/>
      <c r="B875" s="82"/>
    </row>
    <row r="876" spans="1:2" ht="108" customHeight="1" x14ac:dyDescent="0.25">
      <c r="A876" s="80"/>
      <c r="B876" s="82"/>
    </row>
    <row r="877" spans="1:2" ht="108" customHeight="1" x14ac:dyDescent="0.25">
      <c r="A877" s="80"/>
      <c r="B877" s="82"/>
    </row>
    <row r="878" spans="1:2" ht="108" customHeight="1" x14ac:dyDescent="0.25">
      <c r="A878" s="80"/>
      <c r="B878" s="82"/>
    </row>
    <row r="879" spans="1:2" ht="108" customHeight="1" x14ac:dyDescent="0.25">
      <c r="A879" s="80"/>
      <c r="B879" s="82"/>
    </row>
    <row r="880" spans="1:2" ht="108" customHeight="1" x14ac:dyDescent="0.25">
      <c r="A880" s="80"/>
      <c r="B880" s="82"/>
    </row>
    <row r="881" spans="1:2" ht="108" customHeight="1" x14ac:dyDescent="0.25">
      <c r="A881" s="80"/>
      <c r="B881" s="82"/>
    </row>
    <row r="882" spans="1:2" ht="108" customHeight="1" x14ac:dyDescent="0.25">
      <c r="A882" s="80"/>
      <c r="B882" s="82"/>
    </row>
    <row r="883" spans="1:2" ht="108" customHeight="1" x14ac:dyDescent="0.25">
      <c r="A883" s="80"/>
      <c r="B883" s="82"/>
    </row>
    <row r="884" spans="1:2" ht="108" customHeight="1" x14ac:dyDescent="0.25">
      <c r="A884" s="80"/>
      <c r="B884" s="82"/>
    </row>
    <row r="885" spans="1:2" ht="108" customHeight="1" x14ac:dyDescent="0.25">
      <c r="A885" s="80"/>
      <c r="B885" s="82"/>
    </row>
    <row r="886" spans="1:2" ht="108" customHeight="1" x14ac:dyDescent="0.25">
      <c r="A886" s="80"/>
      <c r="B886" s="82"/>
    </row>
    <row r="887" spans="1:2" ht="108" customHeight="1" x14ac:dyDescent="0.25">
      <c r="A887" s="80"/>
      <c r="B887" s="82"/>
    </row>
    <row r="888" spans="1:2" ht="108" customHeight="1" x14ac:dyDescent="0.25">
      <c r="A888" s="80"/>
      <c r="B888" s="82"/>
    </row>
    <row r="889" spans="1:2" ht="108" customHeight="1" x14ac:dyDescent="0.25">
      <c r="A889" s="80"/>
      <c r="B889" s="82"/>
    </row>
    <row r="890" spans="1:2" ht="108" customHeight="1" x14ac:dyDescent="0.25">
      <c r="A890" s="80"/>
      <c r="B890" s="82"/>
    </row>
    <row r="891" spans="1:2" ht="108" customHeight="1" x14ac:dyDescent="0.25">
      <c r="A891" s="80"/>
      <c r="B891" s="82"/>
    </row>
    <row r="892" spans="1:2" ht="108" customHeight="1" x14ac:dyDescent="0.25">
      <c r="A892" s="80"/>
      <c r="B892" s="82"/>
    </row>
    <row r="893" spans="1:2" ht="108" customHeight="1" x14ac:dyDescent="0.25">
      <c r="A893" s="80"/>
      <c r="B893" s="82"/>
    </row>
    <row r="894" spans="1:2" ht="108" customHeight="1" x14ac:dyDescent="0.25">
      <c r="A894" s="80"/>
      <c r="B894" s="82"/>
    </row>
    <row r="895" spans="1:2" ht="108" customHeight="1" x14ac:dyDescent="0.25">
      <c r="A895" s="80"/>
      <c r="B895" s="82"/>
    </row>
    <row r="896" spans="1:2" ht="108" customHeight="1" x14ac:dyDescent="0.25">
      <c r="A896" s="80"/>
      <c r="B896" s="82"/>
    </row>
    <row r="897" spans="1:2" ht="108" customHeight="1" x14ac:dyDescent="0.25">
      <c r="A897" s="80"/>
      <c r="B897" s="82"/>
    </row>
    <row r="898" spans="1:2" ht="108" customHeight="1" x14ac:dyDescent="0.25">
      <c r="A898" s="80"/>
      <c r="B898" s="82"/>
    </row>
    <row r="899" spans="1:2" ht="108" customHeight="1" x14ac:dyDescent="0.25">
      <c r="A899" s="80"/>
      <c r="B899" s="82"/>
    </row>
    <row r="900" spans="1:2" ht="108" customHeight="1" x14ac:dyDescent="0.25">
      <c r="A900" s="80"/>
      <c r="B900" s="82"/>
    </row>
    <row r="901" spans="1:2" ht="108" customHeight="1" x14ac:dyDescent="0.25">
      <c r="A901" s="80"/>
      <c r="B901" s="82"/>
    </row>
    <row r="902" spans="1:2" ht="108" customHeight="1" x14ac:dyDescent="0.25">
      <c r="A902" s="80"/>
      <c r="B902" s="82"/>
    </row>
    <row r="903" spans="1:2" ht="108" customHeight="1" x14ac:dyDescent="0.25">
      <c r="A903" s="80"/>
      <c r="B903" s="82"/>
    </row>
    <row r="904" spans="1:2" ht="108" customHeight="1" x14ac:dyDescent="0.25">
      <c r="A904" s="80"/>
      <c r="B904" s="82"/>
    </row>
    <row r="905" spans="1:2" ht="108" customHeight="1" x14ac:dyDescent="0.25">
      <c r="A905" s="80"/>
      <c r="B905" s="82"/>
    </row>
    <row r="906" spans="1:2" ht="108" customHeight="1" x14ac:dyDescent="0.25">
      <c r="A906" s="80"/>
      <c r="B906" s="82"/>
    </row>
    <row r="907" spans="1:2" ht="108" customHeight="1" x14ac:dyDescent="0.25">
      <c r="A907" s="80"/>
      <c r="B907" s="82"/>
    </row>
    <row r="908" spans="1:2" ht="108" customHeight="1" x14ac:dyDescent="0.25">
      <c r="A908" s="80"/>
      <c r="B908" s="82"/>
    </row>
    <row r="909" spans="1:2" ht="108" customHeight="1" x14ac:dyDescent="0.25">
      <c r="A909" s="80"/>
      <c r="B909" s="82"/>
    </row>
    <row r="910" spans="1:2" ht="108" customHeight="1" x14ac:dyDescent="0.25">
      <c r="A910" s="80"/>
      <c r="B910" s="82"/>
    </row>
    <row r="911" spans="1:2" ht="108" customHeight="1" x14ac:dyDescent="0.25">
      <c r="A911" s="80"/>
      <c r="B911" s="82"/>
    </row>
    <row r="912" spans="1:2" ht="108" customHeight="1" x14ac:dyDescent="0.25">
      <c r="A912" s="80"/>
      <c r="B912" s="82"/>
    </row>
    <row r="913" spans="1:2" ht="108" customHeight="1" x14ac:dyDescent="0.25">
      <c r="A913" s="80"/>
      <c r="B913" s="82"/>
    </row>
    <row r="914" spans="1:2" ht="108" customHeight="1" x14ac:dyDescent="0.25">
      <c r="A914" s="80"/>
      <c r="B914" s="82"/>
    </row>
    <row r="915" spans="1:2" ht="108" customHeight="1" x14ac:dyDescent="0.25">
      <c r="A915" s="80"/>
      <c r="B915" s="82"/>
    </row>
    <row r="916" spans="1:2" ht="108" customHeight="1" x14ac:dyDescent="0.25">
      <c r="A916" s="80"/>
      <c r="B916" s="82"/>
    </row>
    <row r="917" spans="1:2" ht="108" customHeight="1" x14ac:dyDescent="0.25">
      <c r="A917" s="80"/>
      <c r="B917" s="82"/>
    </row>
    <row r="918" spans="1:2" ht="108" customHeight="1" x14ac:dyDescent="0.25">
      <c r="A918" s="80"/>
      <c r="B918" s="82"/>
    </row>
    <row r="919" spans="1:2" ht="108" customHeight="1" x14ac:dyDescent="0.25">
      <c r="A919" s="80"/>
      <c r="B919" s="82"/>
    </row>
    <row r="920" spans="1:2" ht="108" customHeight="1" x14ac:dyDescent="0.25">
      <c r="A920" s="80"/>
      <c r="B920" s="82"/>
    </row>
    <row r="921" spans="1:2" ht="108" customHeight="1" x14ac:dyDescent="0.25">
      <c r="A921" s="80"/>
      <c r="B921" s="82"/>
    </row>
    <row r="922" spans="1:2" ht="108" customHeight="1" x14ac:dyDescent="0.25">
      <c r="A922" s="80"/>
      <c r="B922" s="82"/>
    </row>
    <row r="923" spans="1:2" ht="108" customHeight="1" x14ac:dyDescent="0.25">
      <c r="A923" s="80"/>
      <c r="B923" s="82"/>
    </row>
    <row r="924" spans="1:2" ht="108" customHeight="1" x14ac:dyDescent="0.25">
      <c r="A924" s="80"/>
      <c r="B924" s="82"/>
    </row>
    <row r="925" spans="1:2" ht="108" customHeight="1" x14ac:dyDescent="0.25">
      <c r="A925" s="80"/>
      <c r="B925" s="82"/>
    </row>
    <row r="926" spans="1:2" ht="108" customHeight="1" x14ac:dyDescent="0.25">
      <c r="A926" s="80"/>
      <c r="B926" s="82"/>
    </row>
    <row r="927" spans="1:2" ht="108" customHeight="1" x14ac:dyDescent="0.25">
      <c r="A927" s="80"/>
      <c r="B927" s="82"/>
    </row>
    <row r="928" spans="1:2" ht="108" customHeight="1" x14ac:dyDescent="0.25">
      <c r="A928" s="80"/>
      <c r="B928" s="82"/>
    </row>
    <row r="929" spans="1:2" ht="108" customHeight="1" x14ac:dyDescent="0.25">
      <c r="A929" s="80"/>
      <c r="B929" s="82"/>
    </row>
    <row r="930" spans="1:2" ht="108" customHeight="1" x14ac:dyDescent="0.25">
      <c r="A930" s="80"/>
      <c r="B930" s="82"/>
    </row>
    <row r="931" spans="1:2" ht="108" customHeight="1" x14ac:dyDescent="0.25">
      <c r="A931" s="80"/>
      <c r="B931" s="82"/>
    </row>
    <row r="932" spans="1:2" ht="108" customHeight="1" x14ac:dyDescent="0.25">
      <c r="A932" s="80"/>
      <c r="B932" s="82"/>
    </row>
    <row r="933" spans="1:2" ht="108" customHeight="1" x14ac:dyDescent="0.25">
      <c r="A933" s="80"/>
      <c r="B933" s="82"/>
    </row>
    <row r="934" spans="1:2" ht="108" customHeight="1" x14ac:dyDescent="0.25">
      <c r="A934" s="80"/>
      <c r="B934" s="82"/>
    </row>
    <row r="935" spans="1:2" ht="108" customHeight="1" x14ac:dyDescent="0.25">
      <c r="A935" s="80"/>
      <c r="B935" s="82"/>
    </row>
    <row r="936" spans="1:2" ht="108" customHeight="1" x14ac:dyDescent="0.25">
      <c r="A936" s="80"/>
      <c r="B936" s="82"/>
    </row>
    <row r="937" spans="1:2" ht="108" customHeight="1" x14ac:dyDescent="0.25">
      <c r="A937" s="80"/>
      <c r="B937" s="82"/>
    </row>
    <row r="938" spans="1:2" ht="108" customHeight="1" x14ac:dyDescent="0.25">
      <c r="A938" s="80"/>
      <c r="B938" s="82"/>
    </row>
    <row r="939" spans="1:2" ht="108" customHeight="1" x14ac:dyDescent="0.25">
      <c r="A939" s="80"/>
      <c r="B939" s="82"/>
    </row>
    <row r="940" spans="1:2" ht="108" customHeight="1" x14ac:dyDescent="0.25">
      <c r="A940" s="80"/>
      <c r="B940" s="82"/>
    </row>
    <row r="941" spans="1:2" ht="108" customHeight="1" x14ac:dyDescent="0.25">
      <c r="A941" s="80"/>
      <c r="B941" s="82"/>
    </row>
    <row r="942" spans="1:2" ht="108" customHeight="1" x14ac:dyDescent="0.25">
      <c r="A942" s="80"/>
      <c r="B942" s="82"/>
    </row>
    <row r="943" spans="1:2" ht="108" customHeight="1" x14ac:dyDescent="0.25">
      <c r="A943" s="80"/>
      <c r="B943" s="82"/>
    </row>
    <row r="944" spans="1:2" ht="108" customHeight="1" x14ac:dyDescent="0.25">
      <c r="A944" s="80"/>
      <c r="B944" s="82"/>
    </row>
    <row r="945" spans="1:2" ht="108" customHeight="1" x14ac:dyDescent="0.25">
      <c r="A945" s="80"/>
      <c r="B945" s="82"/>
    </row>
    <row r="946" spans="1:2" ht="108" customHeight="1" x14ac:dyDescent="0.25">
      <c r="A946" s="80"/>
      <c r="B946" s="82"/>
    </row>
    <row r="947" spans="1:2" ht="108" customHeight="1" x14ac:dyDescent="0.25">
      <c r="A947" s="80"/>
      <c r="B947" s="82"/>
    </row>
    <row r="948" spans="1:2" ht="108" customHeight="1" x14ac:dyDescent="0.25">
      <c r="A948" s="80"/>
      <c r="B948" s="82"/>
    </row>
    <row r="949" spans="1:2" ht="108" customHeight="1" x14ac:dyDescent="0.25">
      <c r="A949" s="80"/>
      <c r="B949" s="82"/>
    </row>
    <row r="950" spans="1:2" ht="108" customHeight="1" x14ac:dyDescent="0.25">
      <c r="A950" s="80"/>
      <c r="B950" s="82"/>
    </row>
    <row r="951" spans="1:2" ht="108" customHeight="1" x14ac:dyDescent="0.25">
      <c r="A951" s="80"/>
      <c r="B951" s="82"/>
    </row>
    <row r="952" spans="1:2" ht="108" customHeight="1" x14ac:dyDescent="0.25">
      <c r="A952" s="80"/>
      <c r="B952" s="82"/>
    </row>
    <row r="953" spans="1:2" ht="108" customHeight="1" x14ac:dyDescent="0.25">
      <c r="A953" s="80"/>
      <c r="B953" s="82"/>
    </row>
    <row r="954" spans="1:2" ht="108" customHeight="1" x14ac:dyDescent="0.25">
      <c r="A954" s="80"/>
      <c r="B954" s="82"/>
    </row>
    <row r="955" spans="1:2" ht="108" customHeight="1" x14ac:dyDescent="0.25">
      <c r="A955" s="80"/>
      <c r="B955" s="82"/>
    </row>
    <row r="956" spans="1:2" ht="108" customHeight="1" x14ac:dyDescent="0.25">
      <c r="A956" s="80"/>
      <c r="B956" s="82"/>
    </row>
    <row r="957" spans="1:2" ht="108" customHeight="1" x14ac:dyDescent="0.25">
      <c r="A957" s="80"/>
      <c r="B957" s="82"/>
    </row>
    <row r="958" spans="1:2" ht="108" customHeight="1" x14ac:dyDescent="0.25">
      <c r="A958" s="80"/>
      <c r="B958" s="82"/>
    </row>
    <row r="959" spans="1:2" ht="108" customHeight="1" x14ac:dyDescent="0.25">
      <c r="A959" s="80"/>
      <c r="B959" s="82"/>
    </row>
    <row r="960" spans="1:2" ht="108" customHeight="1" x14ac:dyDescent="0.25">
      <c r="A960" s="80"/>
      <c r="B960" s="82"/>
    </row>
    <row r="961" spans="1:2" ht="108" customHeight="1" x14ac:dyDescent="0.25">
      <c r="A961" s="80"/>
      <c r="B961" s="82"/>
    </row>
    <row r="962" spans="1:2" ht="108" customHeight="1" x14ac:dyDescent="0.25">
      <c r="A962" s="80"/>
      <c r="B962" s="82"/>
    </row>
    <row r="963" spans="1:2" ht="108" customHeight="1" x14ac:dyDescent="0.25">
      <c r="A963" s="80"/>
      <c r="B963" s="82"/>
    </row>
    <row r="964" spans="1:2" ht="108" customHeight="1" x14ac:dyDescent="0.25">
      <c r="A964" s="80"/>
      <c r="B964" s="82"/>
    </row>
    <row r="965" spans="1:2" ht="108" customHeight="1" x14ac:dyDescent="0.25">
      <c r="A965" s="80"/>
      <c r="B965" s="82"/>
    </row>
    <row r="966" spans="1:2" ht="108" customHeight="1" x14ac:dyDescent="0.25">
      <c r="A966" s="80"/>
      <c r="B966" s="82"/>
    </row>
    <row r="967" spans="1:2" ht="108" customHeight="1" x14ac:dyDescent="0.25">
      <c r="A967" s="80"/>
      <c r="B967" s="82"/>
    </row>
    <row r="968" spans="1:2" ht="108" customHeight="1" x14ac:dyDescent="0.25">
      <c r="A968" s="80"/>
      <c r="B968" s="82"/>
    </row>
    <row r="969" spans="1:2" ht="108" customHeight="1" x14ac:dyDescent="0.25">
      <c r="A969" s="80"/>
      <c r="B969" s="82"/>
    </row>
    <row r="970" spans="1:2" ht="108" customHeight="1" x14ac:dyDescent="0.25">
      <c r="A970" s="80"/>
      <c r="B970" s="82"/>
    </row>
    <row r="971" spans="1:2" ht="108" customHeight="1" x14ac:dyDescent="0.25">
      <c r="A971" s="80"/>
      <c r="B971" s="82"/>
    </row>
    <row r="972" spans="1:2" ht="108" customHeight="1" x14ac:dyDescent="0.25">
      <c r="A972" s="80"/>
      <c r="B972" s="82"/>
    </row>
    <row r="973" spans="1:2" ht="108" customHeight="1" x14ac:dyDescent="0.25">
      <c r="A973" s="80"/>
      <c r="B973" s="82"/>
    </row>
    <row r="974" spans="1:2" ht="108" customHeight="1" x14ac:dyDescent="0.25">
      <c r="A974" s="80"/>
      <c r="B974" s="82"/>
    </row>
    <row r="975" spans="1:2" ht="108" customHeight="1" x14ac:dyDescent="0.25">
      <c r="A975" s="80"/>
      <c r="B975" s="82"/>
    </row>
    <row r="976" spans="1:2" ht="108" customHeight="1" x14ac:dyDescent="0.25">
      <c r="A976" s="80"/>
      <c r="B976" s="82"/>
    </row>
    <row r="977" spans="1:2" ht="108" customHeight="1" x14ac:dyDescent="0.25">
      <c r="A977" s="80"/>
      <c r="B977" s="82"/>
    </row>
    <row r="978" spans="1:2" ht="108" customHeight="1" x14ac:dyDescent="0.25">
      <c r="A978" s="80"/>
      <c r="B978" s="82"/>
    </row>
    <row r="979" spans="1:2" ht="108" customHeight="1" x14ac:dyDescent="0.25">
      <c r="A979" s="80"/>
      <c r="B979" s="82"/>
    </row>
    <row r="980" spans="1:2" ht="108" customHeight="1" x14ac:dyDescent="0.25">
      <c r="A980" s="80"/>
      <c r="B980" s="82"/>
    </row>
    <row r="981" spans="1:2" ht="108" customHeight="1" x14ac:dyDescent="0.25">
      <c r="A981" s="80"/>
      <c r="B981" s="82"/>
    </row>
    <row r="982" spans="1:2" ht="108" customHeight="1" x14ac:dyDescent="0.25">
      <c r="A982" s="80"/>
      <c r="B982" s="82"/>
    </row>
    <row r="983" spans="1:2" ht="108" customHeight="1" x14ac:dyDescent="0.25">
      <c r="A983" s="80"/>
      <c r="B983" s="82"/>
    </row>
    <row r="984" spans="1:2" ht="108" customHeight="1" x14ac:dyDescent="0.25">
      <c r="A984" s="80"/>
      <c r="B984" s="82"/>
    </row>
    <row r="985" spans="1:2" ht="108" customHeight="1" x14ac:dyDescent="0.25">
      <c r="A985" s="80"/>
      <c r="B985" s="82"/>
    </row>
    <row r="986" spans="1:2" ht="108" customHeight="1" x14ac:dyDescent="0.25">
      <c r="A986" s="80"/>
      <c r="B986" s="82"/>
    </row>
    <row r="987" spans="1:2" ht="108" customHeight="1" x14ac:dyDescent="0.25">
      <c r="A987" s="80"/>
      <c r="B987" s="82"/>
    </row>
    <row r="988" spans="1:2" ht="108" customHeight="1" x14ac:dyDescent="0.25">
      <c r="A988" s="80"/>
      <c r="B988" s="82"/>
    </row>
    <row r="989" spans="1:2" ht="108" customHeight="1" x14ac:dyDescent="0.25">
      <c r="A989" s="80"/>
      <c r="B989" s="82"/>
    </row>
    <row r="990" spans="1:2" ht="108" customHeight="1" x14ac:dyDescent="0.25">
      <c r="A990" s="80"/>
      <c r="B990" s="82"/>
    </row>
    <row r="991" spans="1:2" ht="108" customHeight="1" x14ac:dyDescent="0.25">
      <c r="A991" s="80"/>
      <c r="B991" s="82"/>
    </row>
    <row r="992" spans="1:2" ht="108" customHeight="1" x14ac:dyDescent="0.25">
      <c r="A992" s="80"/>
      <c r="B992" s="82"/>
    </row>
    <row r="993" spans="1:2" ht="108" customHeight="1" x14ac:dyDescent="0.25">
      <c r="A993" s="80"/>
      <c r="B993" s="82"/>
    </row>
    <row r="994" spans="1:2" ht="108" customHeight="1" x14ac:dyDescent="0.25">
      <c r="A994" s="80"/>
      <c r="B994" s="82"/>
    </row>
    <row r="995" spans="1:2" ht="108" customHeight="1" x14ac:dyDescent="0.25">
      <c r="A995" s="80"/>
      <c r="B995" s="82"/>
    </row>
    <row r="996" spans="1:2" ht="108" customHeight="1" x14ac:dyDescent="0.25">
      <c r="A996" s="80"/>
      <c r="B996" s="82"/>
    </row>
    <row r="997" spans="1:2" ht="108" customHeight="1" x14ac:dyDescent="0.25">
      <c r="A997" s="80"/>
      <c r="B997" s="82"/>
    </row>
    <row r="998" spans="1:2" ht="108" customHeight="1" x14ac:dyDescent="0.25">
      <c r="A998" s="80"/>
      <c r="B998" s="82"/>
    </row>
    <row r="999" spans="1:2" ht="108" customHeight="1" x14ac:dyDescent="0.25">
      <c r="A999" s="80"/>
      <c r="B999" s="82"/>
    </row>
    <row r="1000" spans="1:2" ht="108" customHeight="1" x14ac:dyDescent="0.25">
      <c r="A1000" s="80"/>
      <c r="B1000" s="82"/>
    </row>
    <row r="1001" spans="1:2" ht="108" customHeight="1" x14ac:dyDescent="0.25">
      <c r="A1001" s="80"/>
      <c r="B1001" s="82"/>
    </row>
    <row r="1002" spans="1:2" ht="108" customHeight="1" x14ac:dyDescent="0.25">
      <c r="A1002" s="80"/>
      <c r="B1002" s="82"/>
    </row>
    <row r="1003" spans="1:2" ht="108" customHeight="1" x14ac:dyDescent="0.25">
      <c r="A1003" s="80"/>
      <c r="B1003" s="82"/>
    </row>
    <row r="1004" spans="1:2" ht="108" customHeight="1" x14ac:dyDescent="0.25">
      <c r="A1004" s="80"/>
      <c r="B1004" s="82"/>
    </row>
    <row r="1005" spans="1:2" ht="108" customHeight="1" x14ac:dyDescent="0.25">
      <c r="A1005" s="80"/>
      <c r="B1005" s="82"/>
    </row>
    <row r="1006" spans="1:2" ht="108" customHeight="1" x14ac:dyDescent="0.25">
      <c r="A1006" s="80"/>
      <c r="B1006" s="82"/>
    </row>
    <row r="1007" spans="1:2" ht="108" customHeight="1" x14ac:dyDescent="0.25">
      <c r="A1007" s="80"/>
      <c r="B1007" s="82"/>
    </row>
    <row r="1008" spans="1:2" ht="108" customHeight="1" x14ac:dyDescent="0.25">
      <c r="A1008" s="80"/>
      <c r="B1008" s="82"/>
    </row>
    <row r="1009" spans="1:2" ht="108" customHeight="1" x14ac:dyDescent="0.25">
      <c r="A1009" s="80"/>
      <c r="B1009" s="82"/>
    </row>
    <row r="1010" spans="1:2" ht="108" customHeight="1" x14ac:dyDescent="0.25">
      <c r="A1010" s="80"/>
      <c r="B1010" s="82"/>
    </row>
    <row r="1011" spans="1:2" ht="108" customHeight="1" x14ac:dyDescent="0.25">
      <c r="A1011" s="80"/>
      <c r="B1011" s="82"/>
    </row>
    <row r="1012" spans="1:2" ht="108" customHeight="1" x14ac:dyDescent="0.25">
      <c r="A1012" s="80"/>
      <c r="B1012" s="82"/>
    </row>
    <row r="1013" spans="1:2" ht="108" customHeight="1" x14ac:dyDescent="0.25">
      <c r="A1013" s="80"/>
      <c r="B1013" s="82"/>
    </row>
    <row r="1014" spans="1:2" ht="108" customHeight="1" x14ac:dyDescent="0.25">
      <c r="A1014" s="80"/>
      <c r="B1014" s="82"/>
    </row>
    <row r="1015" spans="1:2" ht="108" customHeight="1" x14ac:dyDescent="0.25">
      <c r="A1015" s="80"/>
      <c r="B1015" s="82"/>
    </row>
    <row r="1016" spans="1:2" ht="108" customHeight="1" x14ac:dyDescent="0.25">
      <c r="A1016" s="80"/>
      <c r="B1016" s="82"/>
    </row>
    <row r="1017" spans="1:2" ht="108" customHeight="1" x14ac:dyDescent="0.25">
      <c r="A1017" s="80"/>
      <c r="B1017" s="82"/>
    </row>
    <row r="1018" spans="1:2" ht="108" customHeight="1" x14ac:dyDescent="0.25">
      <c r="A1018" s="80"/>
      <c r="B1018" s="82"/>
    </row>
    <row r="1019" spans="1:2" ht="108" customHeight="1" x14ac:dyDescent="0.25">
      <c r="A1019" s="80"/>
      <c r="B1019" s="82"/>
    </row>
    <row r="1020" spans="1:2" ht="108" customHeight="1" x14ac:dyDescent="0.25">
      <c r="A1020" s="80"/>
      <c r="B1020" s="82"/>
    </row>
    <row r="1021" spans="1:2" ht="108" customHeight="1" x14ac:dyDescent="0.25">
      <c r="A1021" s="80"/>
      <c r="B1021" s="82"/>
    </row>
    <row r="1022" spans="1:2" ht="108" customHeight="1" x14ac:dyDescent="0.25">
      <c r="A1022" s="80"/>
      <c r="B1022" s="82"/>
    </row>
    <row r="1023" spans="1:2" ht="108" customHeight="1" x14ac:dyDescent="0.25">
      <c r="A1023" s="80"/>
      <c r="B1023" s="82"/>
    </row>
    <row r="1024" spans="1:2" ht="108" customHeight="1" x14ac:dyDescent="0.25">
      <c r="A1024" s="80"/>
      <c r="B1024" s="82"/>
    </row>
    <row r="1025" spans="1:2" ht="108" customHeight="1" x14ac:dyDescent="0.25">
      <c r="A1025" s="80"/>
      <c r="B1025" s="82"/>
    </row>
    <row r="1026" spans="1:2" ht="108" customHeight="1" x14ac:dyDescent="0.25">
      <c r="A1026" s="80"/>
      <c r="B1026" s="82"/>
    </row>
    <row r="1027" spans="1:2" ht="108" customHeight="1" x14ac:dyDescent="0.25">
      <c r="A1027" s="80"/>
      <c r="B1027" s="82"/>
    </row>
    <row r="1028" spans="1:2" ht="108" customHeight="1" x14ac:dyDescent="0.25">
      <c r="A1028" s="80"/>
      <c r="B1028" s="82"/>
    </row>
    <row r="1029" spans="1:2" ht="108" customHeight="1" x14ac:dyDescent="0.25">
      <c r="A1029" s="80"/>
      <c r="B1029" s="82"/>
    </row>
  </sheetData>
  <mergeCells count="2">
    <mergeCell ref="A1:C1"/>
    <mergeCell ref="D1:H1"/>
  </mergeCells>
  <dataValidations count="2">
    <dataValidation type="list" allowBlank="1" showInputMessage="1" showErrorMessage="1" sqref="G3:G5" xr:uid="{5255FDA2-F446-4996-9D93-24EC4E8CADA5}">
      <formula1>"Climate, Energy, HABs, Indian Water Rights, Natural Hazards, Oceans/Coastal/Great Lakes, STEM, Water Challenges, Other"</formula1>
    </dataValidation>
    <dataValidation type="list" allowBlank="1" showInputMessage="1" showErrorMessage="1" sqref="H3:H5" xr:uid="{FA24EEE4-8E2D-46F0-BB19-E577C4EEFFFC}">
      <formula1>"Arctic, California Bay-Delta, Chesapeake Bay, Columbia River, Everglades, Great Lakes, Gulf Coast, Klamath, Puget Sound, Salton Sea, Upper Mississippi River, None of the Above"</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9AA9A2C-61EF-4D3F-8B2E-86DDC046B7DA}">
          <x14:formula1>
            <xm:f>Keyword_drop_down_options!$A$2:$A$36</xm:f>
          </x14:formula1>
          <xm:sqref>E3:E5</xm:sqref>
        </x14:dataValidation>
        <x14:dataValidation type="list" allowBlank="1" showInputMessage="1" showErrorMessage="1" xr:uid="{6B5ECAE3-4EA5-4B0A-95EB-637F730D0C24}">
          <x14:formula1>
            <xm:f>Keyword_drop_down_options!$D$2:$D$8</xm:f>
          </x14:formula1>
          <xm:sqref>D3:D5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1E157-9AD9-444A-8A30-DAAD26F54B64}">
  <sheetPr>
    <tabColor rgb="FF00B0F0"/>
    <pageSetUpPr fitToPage="1"/>
  </sheetPr>
  <dimension ref="A1:AB282"/>
  <sheetViews>
    <sheetView zoomScale="90" zoomScaleNormal="90" workbookViewId="0">
      <pane ySplit="2" topLeftCell="A23" activePane="bottomLeft" state="frozen"/>
      <selection pane="bottomLeft" activeCell="A15" sqref="A15"/>
    </sheetView>
  </sheetViews>
  <sheetFormatPr defaultColWidth="9.140625" defaultRowHeight="15" x14ac:dyDescent="0.25"/>
  <cols>
    <col min="1" max="1" width="21.5703125" style="36" bestFit="1" customWidth="1"/>
    <col min="2" max="2" width="32.85546875" style="4" customWidth="1"/>
    <col min="3" max="3" width="26.85546875" style="21" customWidth="1"/>
    <col min="4" max="4" width="24.140625" style="21" customWidth="1"/>
    <col min="5" max="5" width="48" style="218" customWidth="1"/>
    <col min="6" max="6" width="23.7109375" style="218" customWidth="1"/>
    <col min="7" max="7" width="24.85546875" style="21" customWidth="1"/>
    <col min="8" max="8" width="51.7109375" style="21" customWidth="1"/>
    <col min="9" max="9" width="17.7109375" style="22" customWidth="1"/>
    <col min="10" max="10" width="14" style="42" customWidth="1"/>
    <col min="11" max="11" width="16.140625" style="6" customWidth="1"/>
    <col min="12" max="12" width="18.28515625" style="6" customWidth="1"/>
    <col min="13" max="13" width="18.28515625" style="17" customWidth="1"/>
    <col min="14" max="14" width="50.85546875" style="19" customWidth="1"/>
    <col min="15" max="15" width="40.42578125" style="48" customWidth="1"/>
    <col min="16" max="16" width="17.42578125" style="49" customWidth="1"/>
    <col min="17" max="17" width="20.28515625" style="2" customWidth="1"/>
    <col min="18" max="19" width="18.140625" style="2" customWidth="1"/>
    <col min="20" max="20" width="18.85546875" style="2" customWidth="1"/>
    <col min="21" max="21" width="16.42578125" style="2" customWidth="1"/>
    <col min="22" max="22" width="29.42578125" style="2" customWidth="1"/>
    <col min="23" max="23" width="28" style="2" customWidth="1"/>
    <col min="24" max="24" width="27.7109375" style="2" customWidth="1"/>
    <col min="25" max="25" width="28.140625" style="26" customWidth="1"/>
    <col min="26" max="16384" width="9.140625" style="3"/>
  </cols>
  <sheetData>
    <row r="1" spans="1:28" s="34" customFormat="1" ht="51" customHeight="1" x14ac:dyDescent="0.25">
      <c r="A1" s="375" t="s">
        <v>152</v>
      </c>
      <c r="B1" s="376"/>
      <c r="C1" s="376" t="s">
        <v>153</v>
      </c>
      <c r="D1" s="376"/>
      <c r="E1" s="376"/>
      <c r="F1" s="376"/>
      <c r="G1" s="376"/>
      <c r="H1" s="377"/>
      <c r="I1" s="43" t="s">
        <v>154</v>
      </c>
      <c r="J1" s="369" t="s">
        <v>155</v>
      </c>
      <c r="K1" s="370"/>
      <c r="L1" s="370"/>
      <c r="M1" s="370"/>
      <c r="N1" s="371"/>
      <c r="O1" s="372" t="s">
        <v>156</v>
      </c>
      <c r="P1" s="373"/>
      <c r="Q1" s="373"/>
      <c r="R1" s="373"/>
      <c r="S1" s="373"/>
      <c r="T1" s="373"/>
      <c r="U1" s="373"/>
      <c r="V1" s="373"/>
      <c r="W1" s="373"/>
      <c r="X1" s="373"/>
      <c r="Y1" s="374"/>
    </row>
    <row r="2" spans="1:28" s="16" customFormat="1" ht="100.5" customHeight="1" thickBot="1" x14ac:dyDescent="0.3">
      <c r="A2" s="11" t="s">
        <v>157</v>
      </c>
      <c r="B2" s="12" t="s">
        <v>158</v>
      </c>
      <c r="C2" s="20" t="s">
        <v>159</v>
      </c>
      <c r="D2" s="40" t="s">
        <v>160</v>
      </c>
      <c r="E2" s="40" t="s">
        <v>161</v>
      </c>
      <c r="F2" s="61" t="s">
        <v>162</v>
      </c>
      <c r="G2" s="126" t="s">
        <v>163</v>
      </c>
      <c r="H2" s="61" t="s">
        <v>164</v>
      </c>
      <c r="I2" s="13" t="s">
        <v>165</v>
      </c>
      <c r="J2" s="41" t="s">
        <v>166</v>
      </c>
      <c r="K2" s="14" t="s">
        <v>167</v>
      </c>
      <c r="L2" s="14" t="s">
        <v>168</v>
      </c>
      <c r="M2" s="138" t="s">
        <v>169</v>
      </c>
      <c r="N2" s="356" t="s">
        <v>170</v>
      </c>
      <c r="O2" s="46" t="s">
        <v>171</v>
      </c>
      <c r="P2" s="102" t="s">
        <v>172</v>
      </c>
      <c r="Q2" s="15" t="s">
        <v>173</v>
      </c>
      <c r="R2" s="15" t="s">
        <v>174</v>
      </c>
      <c r="S2" s="45" t="s">
        <v>175</v>
      </c>
      <c r="T2" s="15" t="s">
        <v>176</v>
      </c>
      <c r="U2" s="15" t="s">
        <v>177</v>
      </c>
      <c r="V2" s="15" t="s">
        <v>178</v>
      </c>
      <c r="W2" s="15" t="s">
        <v>179</v>
      </c>
      <c r="X2" s="15" t="s">
        <v>180</v>
      </c>
      <c r="Y2" s="136" t="s">
        <v>181</v>
      </c>
    </row>
    <row r="3" spans="1:28" s="185" customFormat="1" ht="15.75" customHeight="1" x14ac:dyDescent="0.25">
      <c r="A3" s="251" t="s">
        <v>182</v>
      </c>
      <c r="B3" s="252" t="s">
        <v>183</v>
      </c>
      <c r="C3" s="253" t="s">
        <v>184</v>
      </c>
      <c r="D3" s="253" t="s">
        <v>140</v>
      </c>
      <c r="E3" s="254" t="s">
        <v>185</v>
      </c>
      <c r="F3" s="254" t="s">
        <v>186</v>
      </c>
      <c r="G3" s="253" t="s">
        <v>187</v>
      </c>
      <c r="H3" s="255" t="s">
        <v>188</v>
      </c>
      <c r="I3" s="256">
        <v>73030</v>
      </c>
      <c r="J3" s="257" t="s">
        <v>189</v>
      </c>
      <c r="K3" s="257" t="s">
        <v>189</v>
      </c>
      <c r="L3" s="257" t="s">
        <v>189</v>
      </c>
      <c r="M3" s="258" t="s">
        <v>189</v>
      </c>
      <c r="N3" s="259" t="s">
        <v>20</v>
      </c>
      <c r="O3" s="260" t="s">
        <v>190</v>
      </c>
      <c r="P3" s="261" t="s">
        <v>191</v>
      </c>
      <c r="Q3" s="262" t="s">
        <v>192</v>
      </c>
      <c r="R3" s="262"/>
      <c r="S3" s="262"/>
      <c r="T3" s="262" t="s">
        <v>193</v>
      </c>
      <c r="U3" s="262"/>
      <c r="V3" s="262" t="s">
        <v>194</v>
      </c>
      <c r="W3" s="262" t="s">
        <v>195</v>
      </c>
      <c r="X3" s="262" t="s">
        <v>196</v>
      </c>
      <c r="Y3" s="263"/>
      <c r="Z3" s="264"/>
      <c r="AA3" s="264"/>
      <c r="AB3" s="264"/>
    </row>
    <row r="4" spans="1:28" s="187" customFormat="1" ht="60" x14ac:dyDescent="0.25">
      <c r="A4" s="251" t="s">
        <v>197</v>
      </c>
      <c r="B4" s="252" t="s">
        <v>183</v>
      </c>
      <c r="C4" s="253" t="s">
        <v>198</v>
      </c>
      <c r="D4" s="253" t="s">
        <v>140</v>
      </c>
      <c r="E4" s="265" t="s">
        <v>199</v>
      </c>
      <c r="F4" s="266" t="s">
        <v>200</v>
      </c>
      <c r="G4" s="253" t="s">
        <v>201</v>
      </c>
      <c r="H4" s="267" t="s">
        <v>202</v>
      </c>
      <c r="I4" s="256">
        <v>249329</v>
      </c>
      <c r="J4" s="268">
        <v>2</v>
      </c>
      <c r="K4" s="268">
        <v>2</v>
      </c>
      <c r="L4" s="268">
        <v>3</v>
      </c>
      <c r="M4" s="269" t="s">
        <v>189</v>
      </c>
      <c r="N4" s="259" t="s">
        <v>20</v>
      </c>
      <c r="O4" s="260" t="s">
        <v>203</v>
      </c>
      <c r="P4" s="270" t="s">
        <v>191</v>
      </c>
      <c r="Q4" s="262" t="s">
        <v>204</v>
      </c>
      <c r="R4" s="262" t="s">
        <v>191</v>
      </c>
      <c r="S4" s="271"/>
      <c r="T4" s="262" t="s">
        <v>205</v>
      </c>
      <c r="U4" s="262"/>
      <c r="V4" s="262" t="s">
        <v>194</v>
      </c>
      <c r="W4" s="262" t="s">
        <v>206</v>
      </c>
      <c r="X4" s="262" t="s">
        <v>207</v>
      </c>
      <c r="Y4" s="263"/>
      <c r="Z4" s="272"/>
      <c r="AA4" s="272"/>
      <c r="AB4" s="272"/>
    </row>
    <row r="5" spans="1:28" s="189" customFormat="1" ht="30" x14ac:dyDescent="0.25">
      <c r="A5" s="273" t="s">
        <v>208</v>
      </c>
      <c r="B5" s="252" t="s">
        <v>183</v>
      </c>
      <c r="C5" s="253" t="s">
        <v>209</v>
      </c>
      <c r="D5" s="253" t="s">
        <v>140</v>
      </c>
      <c r="E5" s="265" t="s">
        <v>210</v>
      </c>
      <c r="F5" s="266" t="s">
        <v>211</v>
      </c>
      <c r="G5" s="253" t="s">
        <v>201</v>
      </c>
      <c r="H5" s="274" t="s">
        <v>202</v>
      </c>
      <c r="I5" s="275">
        <v>1000</v>
      </c>
      <c r="J5" s="268">
        <v>1</v>
      </c>
      <c r="K5" s="268">
        <v>2</v>
      </c>
      <c r="L5" s="268">
        <v>5</v>
      </c>
      <c r="M5" s="269" t="s">
        <v>189</v>
      </c>
      <c r="N5" s="259" t="s">
        <v>20</v>
      </c>
      <c r="O5" s="260" t="s">
        <v>212</v>
      </c>
      <c r="P5" s="270" t="s">
        <v>191</v>
      </c>
      <c r="Q5" s="262" t="s">
        <v>192</v>
      </c>
      <c r="R5" s="271"/>
      <c r="S5" s="271"/>
      <c r="T5" s="271" t="s">
        <v>205</v>
      </c>
      <c r="U5" s="271"/>
      <c r="V5" s="262" t="s">
        <v>213</v>
      </c>
      <c r="W5" s="262" t="s">
        <v>214</v>
      </c>
      <c r="X5" s="262" t="s">
        <v>215</v>
      </c>
      <c r="Y5" s="276"/>
      <c r="Z5" s="277"/>
      <c r="AA5" s="277"/>
      <c r="AB5" s="277"/>
    </row>
    <row r="6" spans="1:28" s="190" customFormat="1" ht="45" x14ac:dyDescent="0.25">
      <c r="A6" s="273" t="s">
        <v>216</v>
      </c>
      <c r="B6" s="252" t="s">
        <v>183</v>
      </c>
      <c r="C6" s="253" t="s">
        <v>209</v>
      </c>
      <c r="D6" s="253" t="s">
        <v>140</v>
      </c>
      <c r="E6" s="265" t="s">
        <v>217</v>
      </c>
      <c r="F6" s="266" t="s">
        <v>218</v>
      </c>
      <c r="G6" s="278" t="s">
        <v>219</v>
      </c>
      <c r="H6" s="274" t="s">
        <v>220</v>
      </c>
      <c r="I6" s="275">
        <v>9853</v>
      </c>
      <c r="J6" s="268">
        <v>0</v>
      </c>
      <c r="K6" s="268">
        <v>1</v>
      </c>
      <c r="L6" s="268">
        <v>4</v>
      </c>
      <c r="M6" s="269" t="s">
        <v>189</v>
      </c>
      <c r="N6" s="259" t="s">
        <v>20</v>
      </c>
      <c r="O6" s="260" t="s">
        <v>221</v>
      </c>
      <c r="P6" s="270" t="s">
        <v>191</v>
      </c>
      <c r="Q6" s="262" t="s">
        <v>192</v>
      </c>
      <c r="R6" s="262"/>
      <c r="S6" s="262"/>
      <c r="T6" s="262" t="s">
        <v>222</v>
      </c>
      <c r="U6" s="262"/>
      <c r="V6" s="262" t="s">
        <v>223</v>
      </c>
      <c r="W6" s="262" t="s">
        <v>224</v>
      </c>
      <c r="X6" s="262" t="s">
        <v>225</v>
      </c>
      <c r="Y6" s="263"/>
      <c r="Z6" s="279"/>
      <c r="AA6" s="279"/>
      <c r="AB6" s="279"/>
    </row>
    <row r="7" spans="1:28" s="190" customFormat="1" ht="45" x14ac:dyDescent="0.25">
      <c r="A7" s="273" t="s">
        <v>226</v>
      </c>
      <c r="B7" s="252" t="s">
        <v>183</v>
      </c>
      <c r="C7" s="253" t="s">
        <v>209</v>
      </c>
      <c r="D7" s="253" t="s">
        <v>140</v>
      </c>
      <c r="E7" s="265" t="s">
        <v>227</v>
      </c>
      <c r="F7" s="266" t="s">
        <v>228</v>
      </c>
      <c r="G7" s="278" t="s">
        <v>229</v>
      </c>
      <c r="H7" s="274" t="s">
        <v>230</v>
      </c>
      <c r="I7" s="275">
        <v>10000</v>
      </c>
      <c r="J7" s="268">
        <v>0</v>
      </c>
      <c r="K7" s="268">
        <v>2</v>
      </c>
      <c r="L7" s="268">
        <v>3</v>
      </c>
      <c r="M7" s="269" t="s">
        <v>189</v>
      </c>
      <c r="N7" s="259" t="s">
        <v>20</v>
      </c>
      <c r="O7" s="260" t="s">
        <v>203</v>
      </c>
      <c r="P7" s="270" t="s">
        <v>191</v>
      </c>
      <c r="Q7" s="262" t="s">
        <v>192</v>
      </c>
      <c r="R7" s="262"/>
      <c r="S7" s="262"/>
      <c r="T7" s="262" t="s">
        <v>193</v>
      </c>
      <c r="U7" s="262"/>
      <c r="V7" s="262" t="s">
        <v>231</v>
      </c>
      <c r="W7" s="262" t="s">
        <v>194</v>
      </c>
      <c r="X7" s="262" t="s">
        <v>232</v>
      </c>
      <c r="Y7" s="263"/>
      <c r="Z7" s="279"/>
      <c r="AA7" s="279"/>
      <c r="AB7" s="279"/>
    </row>
    <row r="8" spans="1:28" s="190" customFormat="1" ht="45" x14ac:dyDescent="0.25">
      <c r="A8" s="280" t="s">
        <v>233</v>
      </c>
      <c r="B8" s="252" t="s">
        <v>183</v>
      </c>
      <c r="C8" s="278" t="s">
        <v>209</v>
      </c>
      <c r="D8" s="253" t="s">
        <v>140</v>
      </c>
      <c r="E8" s="266" t="s">
        <v>234</v>
      </c>
      <c r="F8" s="266" t="s">
        <v>235</v>
      </c>
      <c r="G8" s="278" t="s">
        <v>187</v>
      </c>
      <c r="H8" s="255" t="s">
        <v>188</v>
      </c>
      <c r="I8" s="281">
        <v>9915</v>
      </c>
      <c r="J8" s="282">
        <v>1</v>
      </c>
      <c r="K8" s="283">
        <v>0</v>
      </c>
      <c r="L8" s="283">
        <v>3</v>
      </c>
      <c r="M8" s="284" t="s">
        <v>189</v>
      </c>
      <c r="N8" s="259" t="s">
        <v>20</v>
      </c>
      <c r="O8" s="260" t="s">
        <v>203</v>
      </c>
      <c r="P8" s="270" t="s">
        <v>191</v>
      </c>
      <c r="Q8" s="262" t="s">
        <v>192</v>
      </c>
      <c r="R8" s="262"/>
      <c r="S8" s="262"/>
      <c r="T8" s="262" t="s">
        <v>193</v>
      </c>
      <c r="U8" s="262"/>
      <c r="V8" s="262" t="s">
        <v>225</v>
      </c>
      <c r="W8" s="262" t="s">
        <v>236</v>
      </c>
      <c r="X8" s="262" t="s">
        <v>232</v>
      </c>
      <c r="Y8" s="263"/>
      <c r="Z8" s="279"/>
      <c r="AA8" s="279"/>
      <c r="AB8" s="279"/>
    </row>
    <row r="9" spans="1:28" s="190" customFormat="1" ht="15.75" x14ac:dyDescent="0.25">
      <c r="A9" s="280" t="s">
        <v>237</v>
      </c>
      <c r="B9" s="252" t="s">
        <v>238</v>
      </c>
      <c r="C9" s="278" t="s">
        <v>209</v>
      </c>
      <c r="D9" s="253" t="s">
        <v>140</v>
      </c>
      <c r="E9" s="266" t="s">
        <v>239</v>
      </c>
      <c r="F9" s="266" t="s">
        <v>240</v>
      </c>
      <c r="G9" s="278" t="s">
        <v>187</v>
      </c>
      <c r="H9" s="278" t="s">
        <v>188</v>
      </c>
      <c r="I9" s="281">
        <v>46567</v>
      </c>
      <c r="J9" s="282">
        <v>0</v>
      </c>
      <c r="K9" s="283">
        <v>0</v>
      </c>
      <c r="L9" s="283">
        <v>0</v>
      </c>
      <c r="M9" s="284" t="s">
        <v>189</v>
      </c>
      <c r="N9" s="259" t="s">
        <v>20</v>
      </c>
      <c r="O9" s="260" t="s">
        <v>241</v>
      </c>
      <c r="P9" s="270" t="s">
        <v>191</v>
      </c>
      <c r="Q9" s="262" t="s">
        <v>192</v>
      </c>
      <c r="R9" s="262"/>
      <c r="S9" s="262"/>
      <c r="T9" s="262" t="s">
        <v>193</v>
      </c>
      <c r="U9" s="262"/>
      <c r="V9" s="262" t="s">
        <v>242</v>
      </c>
      <c r="W9" s="262"/>
      <c r="X9" s="262"/>
      <c r="Y9" s="263"/>
      <c r="Z9" s="279"/>
      <c r="AA9" s="279"/>
      <c r="AB9" s="279"/>
    </row>
    <row r="10" spans="1:28" s="190" customFormat="1" ht="45" x14ac:dyDescent="0.25">
      <c r="A10" s="280" t="s">
        <v>243</v>
      </c>
      <c r="B10" s="252" t="s">
        <v>183</v>
      </c>
      <c r="C10" s="278" t="s">
        <v>209</v>
      </c>
      <c r="D10" s="253" t="s">
        <v>140</v>
      </c>
      <c r="E10" s="266" t="s">
        <v>528</v>
      </c>
      <c r="F10" s="266" t="s">
        <v>244</v>
      </c>
      <c r="G10" s="278" t="s">
        <v>187</v>
      </c>
      <c r="H10" s="278" t="s">
        <v>245</v>
      </c>
      <c r="I10" s="281">
        <v>10000</v>
      </c>
      <c r="J10" s="282">
        <v>1</v>
      </c>
      <c r="K10" s="283">
        <v>0</v>
      </c>
      <c r="L10" s="283">
        <v>0</v>
      </c>
      <c r="M10" s="284">
        <v>1</v>
      </c>
      <c r="N10" s="259" t="s">
        <v>20</v>
      </c>
      <c r="O10" s="260" t="s">
        <v>246</v>
      </c>
      <c r="P10" s="270" t="s">
        <v>191</v>
      </c>
      <c r="Q10" s="262" t="s">
        <v>192</v>
      </c>
      <c r="R10" s="262"/>
      <c r="S10" s="262"/>
      <c r="T10" s="262" t="s">
        <v>193</v>
      </c>
      <c r="U10" s="262"/>
      <c r="V10" s="262" t="s">
        <v>247</v>
      </c>
      <c r="W10" s="262" t="s">
        <v>223</v>
      </c>
      <c r="X10" s="262" t="s">
        <v>214</v>
      </c>
      <c r="Y10" s="263"/>
      <c r="Z10" s="279"/>
      <c r="AA10" s="279"/>
      <c r="AB10" s="279"/>
    </row>
    <row r="11" spans="1:28" s="190" customFormat="1" ht="45" x14ac:dyDescent="0.25">
      <c r="A11" s="280" t="s">
        <v>248</v>
      </c>
      <c r="B11" s="252" t="s">
        <v>183</v>
      </c>
      <c r="C11" s="278" t="s">
        <v>209</v>
      </c>
      <c r="D11" s="253" t="s">
        <v>140</v>
      </c>
      <c r="E11" s="266" t="s">
        <v>249</v>
      </c>
      <c r="F11" s="266" t="s">
        <v>250</v>
      </c>
      <c r="G11" s="278" t="s">
        <v>219</v>
      </c>
      <c r="H11" s="278" t="s">
        <v>251</v>
      </c>
      <c r="I11" s="281">
        <v>10000</v>
      </c>
      <c r="J11" s="282">
        <v>1</v>
      </c>
      <c r="K11" s="283">
        <v>0</v>
      </c>
      <c r="L11" s="283">
        <v>0</v>
      </c>
      <c r="M11" s="284" t="s">
        <v>189</v>
      </c>
      <c r="N11" s="259" t="s">
        <v>20</v>
      </c>
      <c r="O11" s="260" t="s">
        <v>212</v>
      </c>
      <c r="P11" s="270" t="s">
        <v>191</v>
      </c>
      <c r="Q11" s="262" t="s">
        <v>192</v>
      </c>
      <c r="R11" s="262"/>
      <c r="S11" s="262"/>
      <c r="T11" s="262" t="s">
        <v>193</v>
      </c>
      <c r="U11" s="262"/>
      <c r="V11" s="262" t="s">
        <v>224</v>
      </c>
      <c r="W11" s="262" t="s">
        <v>252</v>
      </c>
      <c r="X11" s="262" t="s">
        <v>213</v>
      </c>
      <c r="Y11" s="263"/>
      <c r="Z11" s="279"/>
      <c r="AA11" s="279"/>
      <c r="AB11" s="279"/>
    </row>
    <row r="12" spans="1:28" s="190" customFormat="1" ht="45" x14ac:dyDescent="0.25">
      <c r="A12" s="280" t="s">
        <v>253</v>
      </c>
      <c r="B12" s="252" t="s">
        <v>183</v>
      </c>
      <c r="C12" s="278" t="s">
        <v>209</v>
      </c>
      <c r="D12" s="253" t="s">
        <v>140</v>
      </c>
      <c r="E12" s="266" t="s">
        <v>254</v>
      </c>
      <c r="F12" s="266" t="s">
        <v>255</v>
      </c>
      <c r="G12" s="278" t="s">
        <v>187</v>
      </c>
      <c r="H12" s="278" t="s">
        <v>245</v>
      </c>
      <c r="I12" s="281">
        <v>4668</v>
      </c>
      <c r="J12" s="282">
        <v>0</v>
      </c>
      <c r="K12" s="283">
        <v>1</v>
      </c>
      <c r="L12" s="283">
        <v>0</v>
      </c>
      <c r="M12" s="284" t="s">
        <v>189</v>
      </c>
      <c r="N12" s="259" t="s">
        <v>20</v>
      </c>
      <c r="O12" s="260" t="s">
        <v>212</v>
      </c>
      <c r="P12" s="270" t="s">
        <v>191</v>
      </c>
      <c r="Q12" s="262" t="s">
        <v>192</v>
      </c>
      <c r="R12" s="262"/>
      <c r="S12" s="262"/>
      <c r="T12" s="262" t="s">
        <v>256</v>
      </c>
      <c r="U12" s="262"/>
      <c r="V12" s="262" t="s">
        <v>213</v>
      </c>
      <c r="W12" s="262" t="s">
        <v>236</v>
      </c>
      <c r="X12" s="262" t="s">
        <v>257</v>
      </c>
      <c r="Y12" s="263"/>
      <c r="Z12" s="279"/>
      <c r="AA12" s="279"/>
      <c r="AB12" s="279"/>
    </row>
    <row r="13" spans="1:28" s="190" customFormat="1" ht="30" x14ac:dyDescent="0.25">
      <c r="A13" s="280" t="s">
        <v>258</v>
      </c>
      <c r="B13" s="252" t="s">
        <v>183</v>
      </c>
      <c r="C13" s="278" t="s">
        <v>209</v>
      </c>
      <c r="D13" s="253" t="s">
        <v>140</v>
      </c>
      <c r="E13" s="266" t="s">
        <v>259</v>
      </c>
      <c r="F13" s="266" t="s">
        <v>260</v>
      </c>
      <c r="G13" s="278" t="s">
        <v>261</v>
      </c>
      <c r="H13" s="278" t="s">
        <v>262</v>
      </c>
      <c r="I13" s="281">
        <v>10000</v>
      </c>
      <c r="J13" s="282">
        <v>2</v>
      </c>
      <c r="K13" s="283">
        <v>1</v>
      </c>
      <c r="L13" s="283">
        <v>2</v>
      </c>
      <c r="M13" s="284" t="s">
        <v>189</v>
      </c>
      <c r="N13" s="259" t="s">
        <v>20</v>
      </c>
      <c r="O13" s="260" t="s">
        <v>203</v>
      </c>
      <c r="P13" s="270" t="s">
        <v>191</v>
      </c>
      <c r="Q13" s="262" t="s">
        <v>192</v>
      </c>
      <c r="R13" s="262"/>
      <c r="S13" s="262"/>
      <c r="T13" s="262" t="s">
        <v>205</v>
      </c>
      <c r="U13" s="262"/>
      <c r="V13" s="262" t="s">
        <v>223</v>
      </c>
      <c r="W13" s="262" t="s">
        <v>232</v>
      </c>
      <c r="X13" s="262" t="s">
        <v>231</v>
      </c>
      <c r="Y13" s="263"/>
      <c r="Z13" s="279"/>
      <c r="AA13" s="279"/>
      <c r="AB13" s="279"/>
    </row>
    <row r="14" spans="1:28" ht="30" x14ac:dyDescent="0.25">
      <c r="A14" s="280" t="s">
        <v>263</v>
      </c>
      <c r="B14" s="252" t="s">
        <v>183</v>
      </c>
      <c r="C14" s="278" t="s">
        <v>209</v>
      </c>
      <c r="D14" s="253" t="s">
        <v>140</v>
      </c>
      <c r="E14" s="266" t="s">
        <v>264</v>
      </c>
      <c r="F14" s="266" t="s">
        <v>228</v>
      </c>
      <c r="G14" s="278" t="s">
        <v>229</v>
      </c>
      <c r="H14" s="278" t="s">
        <v>265</v>
      </c>
      <c r="I14" s="281">
        <v>10000</v>
      </c>
      <c r="J14" s="282">
        <v>0</v>
      </c>
      <c r="K14" s="283">
        <v>1</v>
      </c>
      <c r="L14" s="283">
        <v>1</v>
      </c>
      <c r="M14" s="284" t="s">
        <v>189</v>
      </c>
      <c r="N14" s="259" t="s">
        <v>20</v>
      </c>
      <c r="O14" s="260" t="s">
        <v>203</v>
      </c>
      <c r="P14" s="270" t="s">
        <v>191</v>
      </c>
      <c r="Q14" s="262" t="s">
        <v>192</v>
      </c>
      <c r="R14" s="262"/>
      <c r="S14" s="262"/>
      <c r="T14" s="262" t="s">
        <v>193</v>
      </c>
      <c r="U14" s="262"/>
      <c r="V14" s="262" t="s">
        <v>224</v>
      </c>
      <c r="W14" s="262" t="s">
        <v>231</v>
      </c>
      <c r="X14" s="262" t="s">
        <v>252</v>
      </c>
      <c r="Y14" s="263"/>
      <c r="Z14" s="279"/>
      <c r="AA14" s="279"/>
      <c r="AB14" s="279"/>
    </row>
    <row r="15" spans="1:28" ht="30" x14ac:dyDescent="0.25">
      <c r="A15" s="280" t="s">
        <v>266</v>
      </c>
      <c r="B15" s="252" t="s">
        <v>183</v>
      </c>
      <c r="C15" s="278" t="s">
        <v>184</v>
      </c>
      <c r="D15" s="253" t="s">
        <v>140</v>
      </c>
      <c r="E15" s="266" t="s">
        <v>267</v>
      </c>
      <c r="F15" s="266" t="s">
        <v>268</v>
      </c>
      <c r="G15" s="278" t="s">
        <v>201</v>
      </c>
      <c r="H15" s="278" t="s">
        <v>202</v>
      </c>
      <c r="I15" s="281">
        <v>18915</v>
      </c>
      <c r="J15" s="282">
        <v>1</v>
      </c>
      <c r="K15" s="283">
        <v>0</v>
      </c>
      <c r="L15" s="283">
        <v>0</v>
      </c>
      <c r="M15" s="284" t="s">
        <v>189</v>
      </c>
      <c r="N15" s="259" t="s">
        <v>20</v>
      </c>
      <c r="O15" s="260" t="s">
        <v>190</v>
      </c>
      <c r="P15" s="270" t="s">
        <v>191</v>
      </c>
      <c r="Q15" s="262" t="s">
        <v>192</v>
      </c>
      <c r="R15" s="262"/>
      <c r="S15" s="262"/>
      <c r="T15" s="262" t="s">
        <v>193</v>
      </c>
      <c r="U15" s="262"/>
      <c r="V15" s="262" t="s">
        <v>206</v>
      </c>
      <c r="W15" s="262" t="s">
        <v>269</v>
      </c>
      <c r="X15" s="262"/>
      <c r="Y15" s="263"/>
      <c r="Z15" s="279"/>
      <c r="AA15" s="279"/>
      <c r="AB15" s="279"/>
    </row>
    <row r="16" spans="1:28" ht="30" x14ac:dyDescent="0.25">
      <c r="A16" s="280" t="s">
        <v>270</v>
      </c>
      <c r="B16" s="252" t="s">
        <v>238</v>
      </c>
      <c r="C16" s="278" t="s">
        <v>209</v>
      </c>
      <c r="D16" s="253" t="s">
        <v>140</v>
      </c>
      <c r="E16" s="266" t="s">
        <v>271</v>
      </c>
      <c r="F16" s="266" t="s">
        <v>240</v>
      </c>
      <c r="G16" s="278" t="s">
        <v>272</v>
      </c>
      <c r="H16" s="278" t="s">
        <v>245</v>
      </c>
      <c r="I16" s="281">
        <v>41608</v>
      </c>
      <c r="J16" s="282">
        <v>0</v>
      </c>
      <c r="K16" s="283">
        <v>0</v>
      </c>
      <c r="L16" s="283">
        <v>0</v>
      </c>
      <c r="M16" s="284" t="s">
        <v>189</v>
      </c>
      <c r="N16" s="259" t="s">
        <v>20</v>
      </c>
      <c r="O16" s="260" t="s">
        <v>241</v>
      </c>
      <c r="P16" s="270" t="s">
        <v>191</v>
      </c>
      <c r="Q16" s="262" t="s">
        <v>192</v>
      </c>
      <c r="R16" s="262"/>
      <c r="S16" s="262"/>
      <c r="T16" s="262" t="s">
        <v>193</v>
      </c>
      <c r="U16" s="262"/>
      <c r="V16" s="262" t="s">
        <v>242</v>
      </c>
      <c r="W16" s="262"/>
      <c r="X16" s="262"/>
      <c r="Y16" s="263"/>
      <c r="Z16" s="279"/>
      <c r="AA16" s="279"/>
      <c r="AB16" s="279"/>
    </row>
    <row r="17" spans="1:28" ht="45" x14ac:dyDescent="0.25">
      <c r="A17" s="280" t="s">
        <v>273</v>
      </c>
      <c r="B17" s="252" t="s">
        <v>183</v>
      </c>
      <c r="C17" s="278" t="s">
        <v>209</v>
      </c>
      <c r="D17" s="278" t="s">
        <v>24</v>
      </c>
      <c r="E17" s="266" t="s">
        <v>274</v>
      </c>
      <c r="F17" s="266" t="s">
        <v>275</v>
      </c>
      <c r="G17" s="278" t="s">
        <v>187</v>
      </c>
      <c r="H17" s="278" t="s">
        <v>245</v>
      </c>
      <c r="I17" s="281">
        <v>10000</v>
      </c>
      <c r="J17" s="282">
        <v>1</v>
      </c>
      <c r="K17" s="283">
        <v>0</v>
      </c>
      <c r="L17" s="283">
        <v>0</v>
      </c>
      <c r="M17" s="284" t="s">
        <v>189</v>
      </c>
      <c r="N17" s="259" t="s">
        <v>20</v>
      </c>
      <c r="O17" s="260" t="s">
        <v>221</v>
      </c>
      <c r="P17" s="270" t="s">
        <v>191</v>
      </c>
      <c r="Q17" s="262" t="s">
        <v>192</v>
      </c>
      <c r="R17" s="262"/>
      <c r="S17" s="262"/>
      <c r="T17" s="262" t="s">
        <v>256</v>
      </c>
      <c r="U17" s="262"/>
      <c r="V17" s="262" t="s">
        <v>224</v>
      </c>
      <c r="W17" s="262" t="s">
        <v>276</v>
      </c>
      <c r="X17" s="262" t="s">
        <v>277</v>
      </c>
      <c r="Y17" s="263"/>
      <c r="Z17" s="279"/>
      <c r="AA17" s="279"/>
      <c r="AB17" s="279"/>
    </row>
    <row r="18" spans="1:28" ht="45" x14ac:dyDescent="0.25">
      <c r="A18" s="280" t="s">
        <v>278</v>
      </c>
      <c r="B18" s="252" t="s">
        <v>183</v>
      </c>
      <c r="C18" s="278" t="s">
        <v>209</v>
      </c>
      <c r="D18" s="278" t="s">
        <v>24</v>
      </c>
      <c r="E18" s="266" t="s">
        <v>279</v>
      </c>
      <c r="F18" s="266" t="s">
        <v>280</v>
      </c>
      <c r="G18" s="278" t="s">
        <v>201</v>
      </c>
      <c r="H18" s="278" t="s">
        <v>202</v>
      </c>
      <c r="I18" s="281">
        <v>9982</v>
      </c>
      <c r="J18" s="282">
        <v>0</v>
      </c>
      <c r="K18" s="283">
        <v>0</v>
      </c>
      <c r="L18" s="283">
        <v>1</v>
      </c>
      <c r="M18" s="284" t="s">
        <v>189</v>
      </c>
      <c r="N18" s="259" t="s">
        <v>20</v>
      </c>
      <c r="O18" s="260" t="s">
        <v>203</v>
      </c>
      <c r="P18" s="270" t="s">
        <v>191</v>
      </c>
      <c r="Q18" s="262" t="s">
        <v>192</v>
      </c>
      <c r="R18" s="262"/>
      <c r="S18" s="262"/>
      <c r="T18" s="262" t="s">
        <v>281</v>
      </c>
      <c r="U18" s="262"/>
      <c r="V18" s="262" t="s">
        <v>282</v>
      </c>
      <c r="W18" s="262" t="s">
        <v>247</v>
      </c>
      <c r="X18" s="262" t="s">
        <v>236</v>
      </c>
      <c r="Y18" s="263"/>
      <c r="Z18" s="279"/>
      <c r="AA18" s="279"/>
      <c r="AB18" s="279"/>
    </row>
    <row r="19" spans="1:28" ht="45" x14ac:dyDescent="0.25">
      <c r="A19" s="280" t="s">
        <v>283</v>
      </c>
      <c r="B19" s="252" t="s">
        <v>183</v>
      </c>
      <c r="C19" s="278" t="s">
        <v>209</v>
      </c>
      <c r="D19" s="278" t="s">
        <v>24</v>
      </c>
      <c r="E19" s="266" t="s">
        <v>284</v>
      </c>
      <c r="F19" s="266" t="s">
        <v>285</v>
      </c>
      <c r="G19" s="278" t="s">
        <v>201</v>
      </c>
      <c r="H19" s="278" t="s">
        <v>202</v>
      </c>
      <c r="I19" s="281">
        <v>9937</v>
      </c>
      <c r="J19" s="282">
        <v>1</v>
      </c>
      <c r="K19" s="283">
        <v>0</v>
      </c>
      <c r="L19" s="283">
        <v>0</v>
      </c>
      <c r="M19" s="284" t="s">
        <v>189</v>
      </c>
      <c r="N19" s="259" t="s">
        <v>20</v>
      </c>
      <c r="O19" s="260" t="s">
        <v>203</v>
      </c>
      <c r="P19" s="270" t="s">
        <v>191</v>
      </c>
      <c r="Q19" s="262" t="s">
        <v>192</v>
      </c>
      <c r="R19" s="262"/>
      <c r="S19" s="262"/>
      <c r="T19" s="262" t="s">
        <v>286</v>
      </c>
      <c r="U19" s="262"/>
      <c r="V19" s="262" t="s">
        <v>287</v>
      </c>
      <c r="W19" s="262" t="s">
        <v>224</v>
      </c>
      <c r="X19" s="262" t="s">
        <v>207</v>
      </c>
      <c r="Y19" s="263"/>
      <c r="Z19" s="279"/>
      <c r="AA19" s="279"/>
      <c r="AB19" s="279"/>
    </row>
    <row r="20" spans="1:28" ht="30" x14ac:dyDescent="0.25">
      <c r="A20" s="280" t="s">
        <v>288</v>
      </c>
      <c r="B20" s="252" t="s">
        <v>183</v>
      </c>
      <c r="C20" s="278" t="s">
        <v>209</v>
      </c>
      <c r="D20" s="278" t="s">
        <v>24</v>
      </c>
      <c r="E20" s="266" t="s">
        <v>289</v>
      </c>
      <c r="F20" s="266" t="s">
        <v>290</v>
      </c>
      <c r="G20" s="278" t="s">
        <v>187</v>
      </c>
      <c r="H20" s="278" t="s">
        <v>245</v>
      </c>
      <c r="I20" s="281">
        <v>10000</v>
      </c>
      <c r="J20" s="282">
        <v>1</v>
      </c>
      <c r="K20" s="283">
        <v>0</v>
      </c>
      <c r="L20" s="283">
        <v>9</v>
      </c>
      <c r="M20" s="284" t="s">
        <v>189</v>
      </c>
      <c r="N20" s="259" t="s">
        <v>20</v>
      </c>
      <c r="O20" s="260" t="s">
        <v>241</v>
      </c>
      <c r="P20" s="270" t="s">
        <v>191</v>
      </c>
      <c r="Q20" s="262" t="s">
        <v>192</v>
      </c>
      <c r="R20" s="262"/>
      <c r="S20" s="262"/>
      <c r="T20" s="262" t="s">
        <v>193</v>
      </c>
      <c r="U20" s="262"/>
      <c r="V20" s="262" t="s">
        <v>277</v>
      </c>
      <c r="W20" s="262" t="s">
        <v>257</v>
      </c>
      <c r="X20" s="262"/>
      <c r="Y20" s="263"/>
      <c r="Z20" s="279"/>
      <c r="AA20" s="279"/>
      <c r="AB20" s="279"/>
    </row>
    <row r="21" spans="1:28" ht="45" x14ac:dyDescent="0.25">
      <c r="A21" s="280" t="s">
        <v>291</v>
      </c>
      <c r="B21" s="252" t="s">
        <v>183</v>
      </c>
      <c r="C21" s="278" t="s">
        <v>209</v>
      </c>
      <c r="D21" s="278" t="s">
        <v>24</v>
      </c>
      <c r="E21" s="266" t="s">
        <v>292</v>
      </c>
      <c r="F21" s="266" t="s">
        <v>293</v>
      </c>
      <c r="G21" s="278" t="s">
        <v>294</v>
      </c>
      <c r="H21" s="278" t="s">
        <v>245</v>
      </c>
      <c r="I21" s="281"/>
      <c r="J21" s="282"/>
      <c r="K21" s="283"/>
      <c r="L21" s="283"/>
      <c r="M21" s="284"/>
      <c r="N21" s="259" t="s">
        <v>20</v>
      </c>
      <c r="O21" s="260"/>
      <c r="P21" s="270" t="s">
        <v>191</v>
      </c>
      <c r="Q21" s="262"/>
      <c r="R21" s="262"/>
      <c r="S21" s="262"/>
      <c r="T21" s="262"/>
      <c r="U21" s="262"/>
      <c r="V21" s="262"/>
      <c r="W21" s="262"/>
      <c r="X21" s="262"/>
      <c r="Y21" s="263"/>
      <c r="Z21" s="279"/>
      <c r="AA21" s="279"/>
      <c r="AB21" s="279"/>
    </row>
    <row r="22" spans="1:28" ht="15.75" x14ac:dyDescent="0.25">
      <c r="A22" s="280" t="s">
        <v>295</v>
      </c>
      <c r="B22" s="252" t="s">
        <v>183</v>
      </c>
      <c r="C22" s="278" t="s">
        <v>209</v>
      </c>
      <c r="D22" s="278" t="s">
        <v>24</v>
      </c>
      <c r="E22" s="266" t="s">
        <v>296</v>
      </c>
      <c r="F22" s="266" t="s">
        <v>293</v>
      </c>
      <c r="G22" s="278" t="s">
        <v>187</v>
      </c>
      <c r="H22" s="278" t="s">
        <v>245</v>
      </c>
      <c r="I22" s="281"/>
      <c r="J22" s="282"/>
      <c r="K22" s="283"/>
      <c r="L22" s="283"/>
      <c r="M22" s="284"/>
      <c r="N22" s="259" t="s">
        <v>20</v>
      </c>
      <c r="O22" s="260"/>
      <c r="P22" s="270" t="s">
        <v>191</v>
      </c>
      <c r="Q22" s="262"/>
      <c r="R22" s="262"/>
      <c r="S22" s="262"/>
      <c r="T22" s="262"/>
      <c r="U22" s="262"/>
      <c r="V22" s="262"/>
      <c r="W22" s="262"/>
      <c r="X22" s="262"/>
      <c r="Y22" s="263"/>
      <c r="Z22" s="279"/>
      <c r="AA22" s="279"/>
      <c r="AB22" s="279"/>
    </row>
    <row r="23" spans="1:28" ht="45" x14ac:dyDescent="0.25">
      <c r="A23" s="280" t="s">
        <v>297</v>
      </c>
      <c r="B23" s="252" t="s">
        <v>183</v>
      </c>
      <c r="C23" s="278" t="s">
        <v>209</v>
      </c>
      <c r="D23" s="278" t="s">
        <v>24</v>
      </c>
      <c r="E23" s="266" t="s">
        <v>298</v>
      </c>
      <c r="F23" s="266" t="s">
        <v>293</v>
      </c>
      <c r="G23" s="278" t="s">
        <v>187</v>
      </c>
      <c r="H23" s="278" t="s">
        <v>245</v>
      </c>
      <c r="I23" s="281"/>
      <c r="J23" s="282"/>
      <c r="K23" s="283"/>
      <c r="L23" s="283"/>
      <c r="M23" s="284"/>
      <c r="N23" s="259" t="s">
        <v>20</v>
      </c>
      <c r="O23" s="260"/>
      <c r="P23" s="270" t="s">
        <v>191</v>
      </c>
      <c r="Q23" s="262"/>
      <c r="R23" s="262"/>
      <c r="S23" s="262"/>
      <c r="T23" s="262"/>
      <c r="U23" s="262"/>
      <c r="V23" s="262"/>
      <c r="W23" s="262"/>
      <c r="X23" s="262"/>
      <c r="Y23" s="263"/>
      <c r="Z23" s="279"/>
      <c r="AA23" s="279"/>
      <c r="AB23" s="279"/>
    </row>
    <row r="24" spans="1:28" ht="30" x14ac:dyDescent="0.25">
      <c r="A24" s="280" t="s">
        <v>299</v>
      </c>
      <c r="B24" s="252" t="s">
        <v>183</v>
      </c>
      <c r="C24" s="278" t="s">
        <v>209</v>
      </c>
      <c r="D24" s="278" t="s">
        <v>24</v>
      </c>
      <c r="E24" s="266" t="s">
        <v>300</v>
      </c>
      <c r="F24" s="266" t="s">
        <v>301</v>
      </c>
      <c r="G24" s="278" t="s">
        <v>187</v>
      </c>
      <c r="H24" s="278" t="s">
        <v>245</v>
      </c>
      <c r="I24" s="281">
        <v>10000</v>
      </c>
      <c r="J24" s="282">
        <v>0</v>
      </c>
      <c r="K24" s="283">
        <v>1</v>
      </c>
      <c r="L24" s="283">
        <v>0</v>
      </c>
      <c r="M24" s="284" t="s">
        <v>189</v>
      </c>
      <c r="N24" s="259" t="s">
        <v>20</v>
      </c>
      <c r="O24" s="260" t="s">
        <v>190</v>
      </c>
      <c r="P24" s="270" t="s">
        <v>191</v>
      </c>
      <c r="Q24" s="262" t="s">
        <v>192</v>
      </c>
      <c r="R24" s="262"/>
      <c r="S24" s="262"/>
      <c r="T24" s="262" t="s">
        <v>286</v>
      </c>
      <c r="U24" s="262"/>
      <c r="V24" s="262" t="s">
        <v>277</v>
      </c>
      <c r="W24" s="262" t="s">
        <v>247</v>
      </c>
      <c r="X24" s="262"/>
      <c r="Y24" s="263"/>
      <c r="Z24" s="279"/>
      <c r="AA24" s="279"/>
      <c r="AB24" s="279"/>
    </row>
    <row r="25" spans="1:28" ht="45" x14ac:dyDescent="0.25">
      <c r="A25" s="280" t="s">
        <v>302</v>
      </c>
      <c r="B25" s="252" t="s">
        <v>183</v>
      </c>
      <c r="C25" s="278" t="s">
        <v>209</v>
      </c>
      <c r="D25" s="278" t="s">
        <v>24</v>
      </c>
      <c r="E25" s="266" t="s">
        <v>303</v>
      </c>
      <c r="F25" s="266" t="s">
        <v>304</v>
      </c>
      <c r="G25" s="278" t="s">
        <v>187</v>
      </c>
      <c r="H25" s="278" t="s">
        <v>245</v>
      </c>
      <c r="I25" s="281">
        <v>10000</v>
      </c>
      <c r="J25" s="282">
        <v>1</v>
      </c>
      <c r="K25" s="283">
        <v>0</v>
      </c>
      <c r="L25" s="283">
        <v>0</v>
      </c>
      <c r="M25" s="284" t="s">
        <v>189</v>
      </c>
      <c r="N25" s="259" t="s">
        <v>20</v>
      </c>
      <c r="O25" s="260" t="s">
        <v>190</v>
      </c>
      <c r="P25" s="270" t="s">
        <v>191</v>
      </c>
      <c r="Q25" s="262" t="s">
        <v>192</v>
      </c>
      <c r="R25" s="262"/>
      <c r="S25" s="262"/>
      <c r="T25" s="262" t="s">
        <v>286</v>
      </c>
      <c r="U25" s="262"/>
      <c r="V25" s="262" t="s">
        <v>224</v>
      </c>
      <c r="W25" s="262" t="s">
        <v>305</v>
      </c>
      <c r="X25" s="262" t="s">
        <v>252</v>
      </c>
      <c r="Y25" s="263"/>
      <c r="Z25" s="279"/>
      <c r="AA25" s="279"/>
      <c r="AB25" s="279"/>
    </row>
    <row r="26" spans="1:28" ht="45" x14ac:dyDescent="0.25">
      <c r="A26" s="280" t="s">
        <v>306</v>
      </c>
      <c r="B26" s="252" t="s">
        <v>183</v>
      </c>
      <c r="C26" s="278" t="s">
        <v>209</v>
      </c>
      <c r="D26" s="278" t="s">
        <v>24</v>
      </c>
      <c r="E26" s="266" t="s">
        <v>307</v>
      </c>
      <c r="F26" s="266" t="s">
        <v>308</v>
      </c>
      <c r="G26" s="278" t="s">
        <v>187</v>
      </c>
      <c r="H26" s="278" t="s">
        <v>245</v>
      </c>
      <c r="I26" s="281">
        <v>9968</v>
      </c>
      <c r="J26" s="282">
        <v>2</v>
      </c>
      <c r="K26" s="283">
        <v>0</v>
      </c>
      <c r="L26" s="283">
        <v>0</v>
      </c>
      <c r="M26" s="284" t="s">
        <v>189</v>
      </c>
      <c r="N26" s="259" t="s">
        <v>20</v>
      </c>
      <c r="O26" s="260" t="s">
        <v>190</v>
      </c>
      <c r="P26" s="270" t="s">
        <v>191</v>
      </c>
      <c r="Q26" s="262" t="s">
        <v>192</v>
      </c>
      <c r="R26" s="262"/>
      <c r="S26" s="262"/>
      <c r="T26" s="262" t="s">
        <v>286</v>
      </c>
      <c r="U26" s="262"/>
      <c r="V26" s="262" t="s">
        <v>224</v>
      </c>
      <c r="W26" s="262" t="s">
        <v>252</v>
      </c>
      <c r="X26" s="262"/>
      <c r="Y26" s="263"/>
      <c r="Z26" s="279"/>
      <c r="AA26" s="279"/>
      <c r="AB26" s="279"/>
    </row>
    <row r="27" spans="1:28" ht="30" x14ac:dyDescent="0.25">
      <c r="A27" s="280" t="s">
        <v>309</v>
      </c>
      <c r="B27" s="252" t="s">
        <v>183</v>
      </c>
      <c r="C27" s="278" t="s">
        <v>209</v>
      </c>
      <c r="D27" s="278" t="s">
        <v>24</v>
      </c>
      <c r="E27" s="266" t="s">
        <v>310</v>
      </c>
      <c r="F27" s="266" t="s">
        <v>228</v>
      </c>
      <c r="G27" s="278" t="s">
        <v>229</v>
      </c>
      <c r="H27" s="278" t="s">
        <v>245</v>
      </c>
      <c r="I27" s="281">
        <v>9998</v>
      </c>
      <c r="J27" s="282">
        <v>0</v>
      </c>
      <c r="K27" s="283">
        <v>2</v>
      </c>
      <c r="L27" s="283">
        <v>0</v>
      </c>
      <c r="M27" s="284" t="s">
        <v>189</v>
      </c>
      <c r="N27" s="259" t="s">
        <v>20</v>
      </c>
      <c r="O27" s="260" t="s">
        <v>203</v>
      </c>
      <c r="P27" s="270" t="s">
        <v>191</v>
      </c>
      <c r="Q27" s="262" t="s">
        <v>192</v>
      </c>
      <c r="R27" s="262"/>
      <c r="S27" s="262"/>
      <c r="T27" s="262" t="s">
        <v>256</v>
      </c>
      <c r="U27" s="262"/>
      <c r="V27" s="262" t="s">
        <v>311</v>
      </c>
      <c r="W27" s="262" t="s">
        <v>269</v>
      </c>
      <c r="X27" s="262" t="s">
        <v>236</v>
      </c>
      <c r="Y27" s="263"/>
      <c r="Z27" s="279"/>
      <c r="AA27" s="279"/>
      <c r="AB27" s="279"/>
    </row>
    <row r="28" spans="1:28" ht="45" x14ac:dyDescent="0.25">
      <c r="A28" s="280" t="s">
        <v>312</v>
      </c>
      <c r="B28" s="252" t="s">
        <v>183</v>
      </c>
      <c r="C28" s="278" t="s">
        <v>209</v>
      </c>
      <c r="D28" s="278" t="s">
        <v>24</v>
      </c>
      <c r="E28" s="266" t="s">
        <v>313</v>
      </c>
      <c r="F28" s="266" t="s">
        <v>314</v>
      </c>
      <c r="G28" s="278" t="s">
        <v>187</v>
      </c>
      <c r="H28" s="278" t="s">
        <v>245</v>
      </c>
      <c r="I28" s="281">
        <v>10000</v>
      </c>
      <c r="J28" s="282">
        <v>1</v>
      </c>
      <c r="K28" s="283">
        <v>0</v>
      </c>
      <c r="L28" s="283">
        <v>0</v>
      </c>
      <c r="M28" s="284" t="s">
        <v>189</v>
      </c>
      <c r="N28" s="259" t="s">
        <v>20</v>
      </c>
      <c r="O28" s="260" t="s">
        <v>246</v>
      </c>
      <c r="P28" s="270" t="s">
        <v>191</v>
      </c>
      <c r="Q28" s="262" t="s">
        <v>192</v>
      </c>
      <c r="R28" s="262"/>
      <c r="S28" s="262"/>
      <c r="T28" s="262" t="s">
        <v>205</v>
      </c>
      <c r="U28" s="262"/>
      <c r="V28" s="262" t="s">
        <v>223</v>
      </c>
      <c r="W28" s="262" t="s">
        <v>194</v>
      </c>
      <c r="X28" s="262" t="s">
        <v>225</v>
      </c>
      <c r="Y28" s="263"/>
      <c r="Z28" s="279"/>
      <c r="AA28" s="279"/>
      <c r="AB28" s="279"/>
    </row>
    <row r="29" spans="1:28" ht="30" x14ac:dyDescent="0.25">
      <c r="A29" s="280" t="s">
        <v>315</v>
      </c>
      <c r="B29" s="252" t="s">
        <v>183</v>
      </c>
      <c r="C29" s="278" t="s">
        <v>209</v>
      </c>
      <c r="D29" s="278"/>
      <c r="E29" s="266" t="s">
        <v>316</v>
      </c>
      <c r="F29" s="266" t="s">
        <v>317</v>
      </c>
      <c r="G29" s="278" t="s">
        <v>187</v>
      </c>
      <c r="H29" s="278" t="s">
        <v>245</v>
      </c>
      <c r="I29" s="281"/>
      <c r="J29" s="282"/>
      <c r="K29" s="283"/>
      <c r="L29" s="283"/>
      <c r="M29" s="284"/>
      <c r="N29" s="259" t="s">
        <v>20</v>
      </c>
      <c r="O29" s="260" t="s">
        <v>190</v>
      </c>
      <c r="P29" s="270" t="s">
        <v>191</v>
      </c>
      <c r="Q29" s="262"/>
      <c r="R29" s="262"/>
      <c r="S29" s="262"/>
      <c r="T29" s="262"/>
      <c r="U29" s="262"/>
      <c r="V29" s="262" t="s">
        <v>225</v>
      </c>
      <c r="W29" s="262" t="s">
        <v>236</v>
      </c>
      <c r="X29" s="262" t="s">
        <v>287</v>
      </c>
      <c r="Y29" s="263"/>
      <c r="Z29" s="279"/>
      <c r="AA29" s="279"/>
      <c r="AB29" s="279"/>
    </row>
    <row r="30" spans="1:28" ht="45" x14ac:dyDescent="0.25">
      <c r="A30" s="280" t="s">
        <v>318</v>
      </c>
      <c r="B30" s="252" t="s">
        <v>183</v>
      </c>
      <c r="C30" s="278" t="s">
        <v>209</v>
      </c>
      <c r="D30" s="278" t="s">
        <v>24</v>
      </c>
      <c r="E30" s="266" t="s">
        <v>319</v>
      </c>
      <c r="F30" s="266" t="s">
        <v>320</v>
      </c>
      <c r="G30" s="278" t="s">
        <v>187</v>
      </c>
      <c r="H30" s="278" t="s">
        <v>245</v>
      </c>
      <c r="I30" s="281">
        <v>9988</v>
      </c>
      <c r="J30" s="282">
        <v>0</v>
      </c>
      <c r="K30" s="283">
        <v>0</v>
      </c>
      <c r="L30" s="283">
        <v>2</v>
      </c>
      <c r="M30" s="284" t="s">
        <v>189</v>
      </c>
      <c r="N30" s="259" t="s">
        <v>20</v>
      </c>
      <c r="O30" s="260" t="s">
        <v>190</v>
      </c>
      <c r="P30" s="270" t="s">
        <v>191</v>
      </c>
      <c r="Q30" s="262" t="s">
        <v>192</v>
      </c>
      <c r="R30" s="262"/>
      <c r="S30" s="262"/>
      <c r="T30" s="262" t="s">
        <v>286</v>
      </c>
      <c r="U30" s="262"/>
      <c r="V30" s="262" t="s">
        <v>287</v>
      </c>
      <c r="W30" s="262" t="s">
        <v>232</v>
      </c>
      <c r="X30" s="262"/>
      <c r="Y30" s="263"/>
      <c r="Z30" s="279"/>
      <c r="AA30" s="279"/>
      <c r="AB30" s="279"/>
    </row>
    <row r="31" spans="1:28" ht="45" x14ac:dyDescent="0.25">
      <c r="A31" s="280" t="s">
        <v>321</v>
      </c>
      <c r="B31" s="252" t="s">
        <v>183</v>
      </c>
      <c r="C31" s="278" t="s">
        <v>209</v>
      </c>
      <c r="D31" s="278" t="s">
        <v>24</v>
      </c>
      <c r="E31" s="266" t="s">
        <v>322</v>
      </c>
      <c r="F31" s="266" t="s">
        <v>323</v>
      </c>
      <c r="G31" s="278" t="s">
        <v>187</v>
      </c>
      <c r="H31" s="278" t="s">
        <v>245</v>
      </c>
      <c r="I31" s="281">
        <v>10000</v>
      </c>
      <c r="J31" s="282">
        <v>0</v>
      </c>
      <c r="K31" s="283">
        <v>1</v>
      </c>
      <c r="L31" s="283">
        <v>0</v>
      </c>
      <c r="M31" s="284" t="s">
        <v>189</v>
      </c>
      <c r="N31" s="259" t="s">
        <v>20</v>
      </c>
      <c r="O31" s="260" t="s">
        <v>190</v>
      </c>
      <c r="P31" s="270" t="s">
        <v>191</v>
      </c>
      <c r="Q31" s="262" t="s">
        <v>192</v>
      </c>
      <c r="R31" s="262"/>
      <c r="S31" s="262"/>
      <c r="T31" s="262" t="s">
        <v>256</v>
      </c>
      <c r="U31" s="262"/>
      <c r="V31" s="262" t="s">
        <v>223</v>
      </c>
      <c r="W31" s="262" t="s">
        <v>225</v>
      </c>
      <c r="X31" s="262" t="s">
        <v>214</v>
      </c>
      <c r="Y31" s="263"/>
      <c r="Z31" s="279"/>
      <c r="AA31" s="279"/>
      <c r="AB31" s="279"/>
    </row>
    <row r="32" spans="1:28" ht="60" x14ac:dyDescent="0.25">
      <c r="A32" s="280" t="s">
        <v>324</v>
      </c>
      <c r="B32" s="252" t="s">
        <v>183</v>
      </c>
      <c r="C32" s="278" t="s">
        <v>209</v>
      </c>
      <c r="D32" s="278" t="s">
        <v>24</v>
      </c>
      <c r="E32" s="266" t="s">
        <v>325</v>
      </c>
      <c r="F32" s="266" t="s">
        <v>326</v>
      </c>
      <c r="G32" s="278" t="s">
        <v>187</v>
      </c>
      <c r="H32" s="278" t="s">
        <v>245</v>
      </c>
      <c r="I32" s="281">
        <v>10000</v>
      </c>
      <c r="J32" s="282">
        <v>1</v>
      </c>
      <c r="K32" s="283">
        <v>0</v>
      </c>
      <c r="L32" s="283">
        <v>0</v>
      </c>
      <c r="M32" s="284" t="s">
        <v>189</v>
      </c>
      <c r="N32" s="259" t="s">
        <v>20</v>
      </c>
      <c r="O32" s="260" t="s">
        <v>221</v>
      </c>
      <c r="P32" s="270" t="s">
        <v>191</v>
      </c>
      <c r="Q32" s="262" t="s">
        <v>192</v>
      </c>
      <c r="R32" s="262"/>
      <c r="S32" s="262"/>
      <c r="T32" s="262" t="s">
        <v>256</v>
      </c>
      <c r="U32" s="262"/>
      <c r="V32" s="262" t="s">
        <v>223</v>
      </c>
      <c r="W32" s="262" t="s">
        <v>224</v>
      </c>
      <c r="X32" s="262" t="s">
        <v>194</v>
      </c>
      <c r="Y32" s="263"/>
      <c r="Z32" s="279"/>
      <c r="AA32" s="279"/>
      <c r="AB32" s="279"/>
    </row>
    <row r="33" spans="1:28" ht="30" x14ac:dyDescent="0.25">
      <c r="A33" s="280" t="s">
        <v>327</v>
      </c>
      <c r="B33" s="252" t="s">
        <v>183</v>
      </c>
      <c r="C33" s="278" t="s">
        <v>209</v>
      </c>
      <c r="D33" s="278" t="s">
        <v>24</v>
      </c>
      <c r="E33" s="266" t="s">
        <v>328</v>
      </c>
      <c r="F33" s="266" t="s">
        <v>228</v>
      </c>
      <c r="G33" s="278" t="s">
        <v>229</v>
      </c>
      <c r="H33" s="278" t="s">
        <v>245</v>
      </c>
      <c r="I33" s="281">
        <v>9887</v>
      </c>
      <c r="J33" s="282">
        <v>1</v>
      </c>
      <c r="K33" s="283">
        <v>0</v>
      </c>
      <c r="L33" s="283">
        <v>0</v>
      </c>
      <c r="M33" s="284" t="s">
        <v>189</v>
      </c>
      <c r="N33" s="259" t="s">
        <v>20</v>
      </c>
      <c r="O33" s="260" t="s">
        <v>203</v>
      </c>
      <c r="P33" s="270" t="s">
        <v>191</v>
      </c>
      <c r="Q33" s="262" t="s">
        <v>192</v>
      </c>
      <c r="R33" s="262"/>
      <c r="S33" s="262"/>
      <c r="T33" s="262" t="s">
        <v>256</v>
      </c>
      <c r="U33" s="262"/>
      <c r="V33" s="262" t="s">
        <v>232</v>
      </c>
      <c r="W33" s="262" t="s">
        <v>311</v>
      </c>
      <c r="X33" s="262" t="s">
        <v>287</v>
      </c>
      <c r="Y33" s="263"/>
      <c r="Z33" s="279"/>
      <c r="AA33" s="279"/>
      <c r="AB33" s="279"/>
    </row>
    <row r="34" spans="1:28" ht="45" x14ac:dyDescent="0.25">
      <c r="A34" s="280" t="s">
        <v>329</v>
      </c>
      <c r="B34" s="252" t="s">
        <v>183</v>
      </c>
      <c r="C34" s="278" t="s">
        <v>330</v>
      </c>
      <c r="D34" s="278" t="s">
        <v>140</v>
      </c>
      <c r="E34" s="266" t="s">
        <v>331</v>
      </c>
      <c r="F34" s="266" t="s">
        <v>332</v>
      </c>
      <c r="G34" s="278" t="s">
        <v>187</v>
      </c>
      <c r="H34" s="278" t="s">
        <v>245</v>
      </c>
      <c r="I34" s="281">
        <v>240624</v>
      </c>
      <c r="J34" s="282"/>
      <c r="K34" s="283"/>
      <c r="L34" s="283"/>
      <c r="M34" s="284"/>
      <c r="N34" s="259" t="s">
        <v>20</v>
      </c>
      <c r="O34" s="260"/>
      <c r="P34" s="270" t="s">
        <v>191</v>
      </c>
      <c r="Q34" s="262"/>
      <c r="R34" s="262"/>
      <c r="S34" s="262"/>
      <c r="T34" s="262"/>
      <c r="U34" s="262"/>
      <c r="V34" s="262"/>
      <c r="W34" s="262"/>
      <c r="X34" s="262"/>
      <c r="Y34" s="263"/>
      <c r="Z34" s="279"/>
      <c r="AA34" s="279"/>
      <c r="AB34" s="279"/>
    </row>
    <row r="35" spans="1:28" x14ac:dyDescent="0.25">
      <c r="O35" s="47"/>
    </row>
    <row r="36" spans="1:28" x14ac:dyDescent="0.25">
      <c r="O36" s="47"/>
    </row>
    <row r="37" spans="1:28" x14ac:dyDescent="0.25">
      <c r="O37" s="47"/>
    </row>
    <row r="38" spans="1:28" x14ac:dyDescent="0.25">
      <c r="O38" s="47"/>
    </row>
    <row r="39" spans="1:28" x14ac:dyDescent="0.25">
      <c r="O39" s="47"/>
    </row>
    <row r="40" spans="1:28" x14ac:dyDescent="0.25">
      <c r="O40" s="47"/>
    </row>
    <row r="41" spans="1:28" x14ac:dyDescent="0.25">
      <c r="O41" s="47"/>
    </row>
    <row r="42" spans="1:28" x14ac:dyDescent="0.25">
      <c r="O42" s="47"/>
    </row>
    <row r="43" spans="1:28" x14ac:dyDescent="0.25">
      <c r="O43" s="47"/>
    </row>
    <row r="44" spans="1:28" x14ac:dyDescent="0.25">
      <c r="O44" s="47"/>
    </row>
    <row r="45" spans="1:28" x14ac:dyDescent="0.25">
      <c r="O45" s="47"/>
    </row>
    <row r="46" spans="1:28" x14ac:dyDescent="0.25">
      <c r="O46" s="47"/>
    </row>
    <row r="47" spans="1:28" x14ac:dyDescent="0.25">
      <c r="O47" s="47"/>
    </row>
    <row r="48" spans="1:28" x14ac:dyDescent="0.25">
      <c r="O48" s="47"/>
    </row>
    <row r="49" spans="15:15" x14ac:dyDescent="0.25">
      <c r="O49" s="47"/>
    </row>
    <row r="50" spans="15:15" x14ac:dyDescent="0.25">
      <c r="O50" s="47"/>
    </row>
    <row r="51" spans="15:15" x14ac:dyDescent="0.25">
      <c r="O51" s="47"/>
    </row>
    <row r="52" spans="15:15" x14ac:dyDescent="0.25">
      <c r="O52" s="47"/>
    </row>
    <row r="53" spans="15:15" x14ac:dyDescent="0.25">
      <c r="O53" s="47"/>
    </row>
    <row r="54" spans="15:15" x14ac:dyDescent="0.25">
      <c r="O54" s="47"/>
    </row>
    <row r="55" spans="15:15" x14ac:dyDescent="0.25">
      <c r="O55" s="47"/>
    </row>
    <row r="56" spans="15:15" x14ac:dyDescent="0.25">
      <c r="O56" s="47"/>
    </row>
    <row r="57" spans="15:15" x14ac:dyDescent="0.25">
      <c r="O57" s="47"/>
    </row>
    <row r="58" spans="15:15" x14ac:dyDescent="0.25">
      <c r="O58" s="47"/>
    </row>
    <row r="59" spans="15:15" x14ac:dyDescent="0.25">
      <c r="O59" s="47"/>
    </row>
    <row r="60" spans="15:15" x14ac:dyDescent="0.25">
      <c r="O60" s="47"/>
    </row>
    <row r="61" spans="15:15" x14ac:dyDescent="0.25">
      <c r="O61" s="47"/>
    </row>
    <row r="62" spans="15:15" x14ac:dyDescent="0.25">
      <c r="O62" s="47"/>
    </row>
    <row r="63" spans="15:15" x14ac:dyDescent="0.25">
      <c r="O63" s="47"/>
    </row>
    <row r="64" spans="15:15" x14ac:dyDescent="0.25">
      <c r="O64" s="47"/>
    </row>
    <row r="65" spans="15:15" x14ac:dyDescent="0.25">
      <c r="O65" s="47"/>
    </row>
    <row r="66" spans="15:15" x14ac:dyDescent="0.25">
      <c r="O66" s="47"/>
    </row>
    <row r="67" spans="15:15" x14ac:dyDescent="0.25">
      <c r="O67" s="47"/>
    </row>
    <row r="68" spans="15:15" x14ac:dyDescent="0.25">
      <c r="O68" s="47"/>
    </row>
    <row r="69" spans="15:15" x14ac:dyDescent="0.25">
      <c r="O69" s="47"/>
    </row>
    <row r="70" spans="15:15" x14ac:dyDescent="0.25">
      <c r="O70" s="47"/>
    </row>
    <row r="71" spans="15:15" x14ac:dyDescent="0.25">
      <c r="O71" s="47"/>
    </row>
    <row r="72" spans="15:15" x14ac:dyDescent="0.25">
      <c r="O72" s="47"/>
    </row>
    <row r="73" spans="15:15" x14ac:dyDescent="0.25">
      <c r="O73" s="47"/>
    </row>
    <row r="74" spans="15:15" x14ac:dyDescent="0.25">
      <c r="O74" s="47"/>
    </row>
    <row r="75" spans="15:15" x14ac:dyDescent="0.25">
      <c r="O75" s="47"/>
    </row>
    <row r="76" spans="15:15" x14ac:dyDescent="0.25">
      <c r="O76" s="47"/>
    </row>
    <row r="77" spans="15:15" x14ac:dyDescent="0.25">
      <c r="O77" s="47"/>
    </row>
    <row r="78" spans="15:15" x14ac:dyDescent="0.25">
      <c r="O78" s="47"/>
    </row>
    <row r="79" spans="15:15" x14ac:dyDescent="0.25">
      <c r="O79" s="47"/>
    </row>
    <row r="80" spans="15:15" x14ac:dyDescent="0.25">
      <c r="O80" s="47"/>
    </row>
    <row r="81" spans="15:15" x14ac:dyDescent="0.25">
      <c r="O81" s="47"/>
    </row>
    <row r="82" spans="15:15" x14ac:dyDescent="0.25">
      <c r="O82" s="47"/>
    </row>
    <row r="83" spans="15:15" x14ac:dyDescent="0.25">
      <c r="O83" s="47"/>
    </row>
    <row r="84" spans="15:15" x14ac:dyDescent="0.25">
      <c r="O84" s="47"/>
    </row>
    <row r="85" spans="15:15" x14ac:dyDescent="0.25">
      <c r="O85" s="47"/>
    </row>
    <row r="86" spans="15:15" x14ac:dyDescent="0.25">
      <c r="O86" s="47"/>
    </row>
    <row r="87" spans="15:15" x14ac:dyDescent="0.25">
      <c r="O87" s="47"/>
    </row>
    <row r="88" spans="15:15" x14ac:dyDescent="0.25">
      <c r="O88" s="47"/>
    </row>
    <row r="89" spans="15:15" x14ac:dyDescent="0.25">
      <c r="O89" s="47"/>
    </row>
    <row r="90" spans="15:15" x14ac:dyDescent="0.25">
      <c r="O90" s="47"/>
    </row>
    <row r="91" spans="15:15" x14ac:dyDescent="0.25">
      <c r="O91" s="47"/>
    </row>
    <row r="92" spans="15:15" x14ac:dyDescent="0.25">
      <c r="O92" s="47"/>
    </row>
    <row r="93" spans="15:15" x14ac:dyDescent="0.25">
      <c r="O93" s="47"/>
    </row>
    <row r="94" spans="15:15" x14ac:dyDescent="0.25">
      <c r="O94" s="47"/>
    </row>
    <row r="95" spans="15:15" x14ac:dyDescent="0.25">
      <c r="O95" s="47"/>
    </row>
    <row r="96" spans="15:15" x14ac:dyDescent="0.25">
      <c r="O96" s="47"/>
    </row>
    <row r="97" spans="15:15" x14ac:dyDescent="0.25">
      <c r="O97" s="47"/>
    </row>
    <row r="98" spans="15:15" x14ac:dyDescent="0.25">
      <c r="O98" s="47"/>
    </row>
    <row r="99" spans="15:15" x14ac:dyDescent="0.25">
      <c r="O99" s="47"/>
    </row>
    <row r="100" spans="15:15" x14ac:dyDescent="0.25">
      <c r="O100" s="47"/>
    </row>
    <row r="101" spans="15:15" x14ac:dyDescent="0.25">
      <c r="O101" s="47"/>
    </row>
    <row r="102" spans="15:15" x14ac:dyDescent="0.25">
      <c r="O102" s="47"/>
    </row>
    <row r="103" spans="15:15" x14ac:dyDescent="0.25">
      <c r="O103" s="47"/>
    </row>
    <row r="104" spans="15:15" x14ac:dyDescent="0.25">
      <c r="O104" s="47"/>
    </row>
    <row r="105" spans="15:15" x14ac:dyDescent="0.25">
      <c r="O105" s="47"/>
    </row>
    <row r="106" spans="15:15" x14ac:dyDescent="0.25">
      <c r="O106" s="47"/>
    </row>
    <row r="107" spans="15:15" x14ac:dyDescent="0.25">
      <c r="O107" s="47"/>
    </row>
    <row r="108" spans="15:15" x14ac:dyDescent="0.25">
      <c r="O108" s="47"/>
    </row>
    <row r="109" spans="15:15" x14ac:dyDescent="0.25">
      <c r="O109" s="47"/>
    </row>
    <row r="110" spans="15:15" x14ac:dyDescent="0.25">
      <c r="O110" s="47"/>
    </row>
    <row r="111" spans="15:15" x14ac:dyDescent="0.25">
      <c r="O111" s="47"/>
    </row>
    <row r="112" spans="15:15" x14ac:dyDescent="0.25">
      <c r="O112" s="47"/>
    </row>
    <row r="113" spans="15:15" x14ac:dyDescent="0.25">
      <c r="O113" s="47"/>
    </row>
    <row r="114" spans="15:15" x14ac:dyDescent="0.25">
      <c r="O114" s="47"/>
    </row>
    <row r="115" spans="15:15" x14ac:dyDescent="0.25">
      <c r="O115" s="47"/>
    </row>
    <row r="116" spans="15:15" x14ac:dyDescent="0.25">
      <c r="O116" s="47"/>
    </row>
    <row r="117" spans="15:15" x14ac:dyDescent="0.25">
      <c r="O117" s="47"/>
    </row>
    <row r="118" spans="15:15" x14ac:dyDescent="0.25">
      <c r="O118" s="47"/>
    </row>
    <row r="119" spans="15:15" x14ac:dyDescent="0.25">
      <c r="O119" s="47"/>
    </row>
    <row r="120" spans="15:15" x14ac:dyDescent="0.25">
      <c r="O120" s="47"/>
    </row>
    <row r="121" spans="15:15" x14ac:dyDescent="0.25">
      <c r="O121" s="47"/>
    </row>
    <row r="122" spans="15:15" x14ac:dyDescent="0.25">
      <c r="O122" s="47"/>
    </row>
    <row r="123" spans="15:15" x14ac:dyDescent="0.25">
      <c r="O123" s="47"/>
    </row>
    <row r="124" spans="15:15" x14ac:dyDescent="0.25">
      <c r="O124" s="47"/>
    </row>
    <row r="125" spans="15:15" x14ac:dyDescent="0.25">
      <c r="O125" s="47"/>
    </row>
    <row r="126" spans="15:15" x14ac:dyDescent="0.25">
      <c r="O126" s="47"/>
    </row>
    <row r="127" spans="15:15" x14ac:dyDescent="0.25">
      <c r="O127" s="47"/>
    </row>
    <row r="128" spans="15:15" x14ac:dyDescent="0.25">
      <c r="O128" s="47"/>
    </row>
    <row r="129" spans="15:15" x14ac:dyDescent="0.25">
      <c r="O129" s="47"/>
    </row>
    <row r="130" spans="15:15" x14ac:dyDescent="0.25">
      <c r="O130" s="47"/>
    </row>
    <row r="131" spans="15:15" x14ac:dyDescent="0.25">
      <c r="O131" s="47"/>
    </row>
    <row r="132" spans="15:15" x14ac:dyDescent="0.25">
      <c r="O132" s="47"/>
    </row>
    <row r="133" spans="15:15" x14ac:dyDescent="0.25">
      <c r="O133" s="47"/>
    </row>
    <row r="134" spans="15:15" x14ac:dyDescent="0.25">
      <c r="O134" s="47"/>
    </row>
    <row r="135" spans="15:15" x14ac:dyDescent="0.25">
      <c r="O135" s="47"/>
    </row>
    <row r="136" spans="15:15" x14ac:dyDescent="0.25">
      <c r="O136" s="47"/>
    </row>
    <row r="137" spans="15:15" x14ac:dyDescent="0.25">
      <c r="O137" s="47"/>
    </row>
    <row r="138" spans="15:15" x14ac:dyDescent="0.25">
      <c r="O138" s="47"/>
    </row>
    <row r="139" spans="15:15" x14ac:dyDescent="0.25">
      <c r="O139" s="47"/>
    </row>
    <row r="140" spans="15:15" x14ac:dyDescent="0.25">
      <c r="O140" s="47"/>
    </row>
    <row r="141" spans="15:15" x14ac:dyDescent="0.25">
      <c r="O141" s="47"/>
    </row>
    <row r="142" spans="15:15" x14ac:dyDescent="0.25">
      <c r="O142" s="47"/>
    </row>
    <row r="143" spans="15:15" x14ac:dyDescent="0.25">
      <c r="O143" s="47"/>
    </row>
    <row r="144" spans="15:15" x14ac:dyDescent="0.25">
      <c r="O144" s="47"/>
    </row>
    <row r="145" spans="15:15" x14ac:dyDescent="0.25">
      <c r="O145" s="47"/>
    </row>
    <row r="146" spans="15:15" x14ac:dyDescent="0.25">
      <c r="O146" s="47"/>
    </row>
    <row r="147" spans="15:15" x14ac:dyDescent="0.25">
      <c r="O147" s="47"/>
    </row>
    <row r="148" spans="15:15" x14ac:dyDescent="0.25">
      <c r="O148" s="47"/>
    </row>
    <row r="149" spans="15:15" x14ac:dyDescent="0.25">
      <c r="O149" s="47"/>
    </row>
    <row r="150" spans="15:15" x14ac:dyDescent="0.25">
      <c r="O150" s="47"/>
    </row>
    <row r="151" spans="15:15" x14ac:dyDescent="0.25">
      <c r="O151" s="47"/>
    </row>
    <row r="152" spans="15:15" x14ac:dyDescent="0.25">
      <c r="O152" s="47"/>
    </row>
    <row r="153" spans="15:15" x14ac:dyDescent="0.25">
      <c r="O153" s="47"/>
    </row>
    <row r="154" spans="15:15" x14ac:dyDescent="0.25">
      <c r="O154" s="47"/>
    </row>
    <row r="155" spans="15:15" x14ac:dyDescent="0.25">
      <c r="O155" s="47"/>
    </row>
    <row r="156" spans="15:15" x14ac:dyDescent="0.25">
      <c r="O156" s="47"/>
    </row>
    <row r="157" spans="15:15" x14ac:dyDescent="0.25">
      <c r="O157" s="47"/>
    </row>
    <row r="158" spans="15:15" x14ac:dyDescent="0.25">
      <c r="O158" s="47"/>
    </row>
    <row r="159" spans="15:15" x14ac:dyDescent="0.25">
      <c r="O159" s="47"/>
    </row>
    <row r="160" spans="15:15" x14ac:dyDescent="0.25">
      <c r="O160" s="47"/>
    </row>
    <row r="161" spans="15:15" x14ac:dyDescent="0.25">
      <c r="O161" s="47"/>
    </row>
    <row r="162" spans="15:15" x14ac:dyDescent="0.25">
      <c r="O162" s="47"/>
    </row>
    <row r="163" spans="15:15" x14ac:dyDescent="0.25">
      <c r="O163" s="47"/>
    </row>
    <row r="164" spans="15:15" x14ac:dyDescent="0.25">
      <c r="O164" s="47"/>
    </row>
    <row r="165" spans="15:15" x14ac:dyDescent="0.25">
      <c r="O165" s="47"/>
    </row>
    <row r="166" spans="15:15" x14ac:dyDescent="0.25">
      <c r="O166" s="47"/>
    </row>
    <row r="167" spans="15:15" x14ac:dyDescent="0.25">
      <c r="O167" s="47"/>
    </row>
    <row r="168" spans="15:15" x14ac:dyDescent="0.25">
      <c r="O168" s="47"/>
    </row>
    <row r="169" spans="15:15" x14ac:dyDescent="0.25">
      <c r="O169" s="47"/>
    </row>
    <row r="170" spans="15:15" x14ac:dyDescent="0.25">
      <c r="O170" s="47"/>
    </row>
    <row r="171" spans="15:15" x14ac:dyDescent="0.25">
      <c r="O171" s="47"/>
    </row>
    <row r="172" spans="15:15" x14ac:dyDescent="0.25">
      <c r="O172" s="47"/>
    </row>
    <row r="173" spans="15:15" x14ac:dyDescent="0.25">
      <c r="O173" s="47"/>
    </row>
    <row r="174" spans="15:15" x14ac:dyDescent="0.25">
      <c r="O174" s="47"/>
    </row>
    <row r="175" spans="15:15" x14ac:dyDescent="0.25">
      <c r="O175" s="47"/>
    </row>
    <row r="176" spans="15:15" x14ac:dyDescent="0.25">
      <c r="O176" s="47"/>
    </row>
    <row r="177" spans="15:15" x14ac:dyDescent="0.25">
      <c r="O177" s="47"/>
    </row>
    <row r="178" spans="15:15" x14ac:dyDescent="0.25">
      <c r="O178" s="47"/>
    </row>
    <row r="179" spans="15:15" x14ac:dyDescent="0.25">
      <c r="O179" s="47"/>
    </row>
    <row r="180" spans="15:15" x14ac:dyDescent="0.25">
      <c r="O180" s="47"/>
    </row>
    <row r="181" spans="15:15" x14ac:dyDescent="0.25">
      <c r="O181" s="47"/>
    </row>
    <row r="182" spans="15:15" x14ac:dyDescent="0.25">
      <c r="O182" s="47"/>
    </row>
    <row r="183" spans="15:15" x14ac:dyDescent="0.25">
      <c r="O183" s="47"/>
    </row>
    <row r="184" spans="15:15" x14ac:dyDescent="0.25">
      <c r="O184" s="47"/>
    </row>
    <row r="185" spans="15:15" x14ac:dyDescent="0.25">
      <c r="O185" s="47"/>
    </row>
    <row r="186" spans="15:15" x14ac:dyDescent="0.25">
      <c r="O186" s="47"/>
    </row>
    <row r="187" spans="15:15" x14ac:dyDescent="0.25">
      <c r="O187" s="47"/>
    </row>
    <row r="188" spans="15:15" x14ac:dyDescent="0.25">
      <c r="O188" s="47"/>
    </row>
    <row r="189" spans="15:15" x14ac:dyDescent="0.25">
      <c r="O189" s="47"/>
    </row>
    <row r="190" spans="15:15" x14ac:dyDescent="0.25">
      <c r="O190" s="47"/>
    </row>
    <row r="191" spans="15:15" x14ac:dyDescent="0.25">
      <c r="O191" s="47"/>
    </row>
    <row r="192" spans="15:15" x14ac:dyDescent="0.25">
      <c r="O192" s="47"/>
    </row>
    <row r="193" spans="15:15" x14ac:dyDescent="0.25">
      <c r="O193" s="47"/>
    </row>
    <row r="194" spans="15:15" x14ac:dyDescent="0.25">
      <c r="O194" s="47"/>
    </row>
    <row r="195" spans="15:15" x14ac:dyDescent="0.25">
      <c r="O195" s="47"/>
    </row>
    <row r="196" spans="15:15" x14ac:dyDescent="0.25">
      <c r="O196" s="47"/>
    </row>
    <row r="197" spans="15:15" x14ac:dyDescent="0.25">
      <c r="O197" s="47"/>
    </row>
    <row r="198" spans="15:15" x14ac:dyDescent="0.25">
      <c r="O198" s="47"/>
    </row>
    <row r="199" spans="15:15" x14ac:dyDescent="0.25">
      <c r="O199" s="47"/>
    </row>
    <row r="200" spans="15:15" x14ac:dyDescent="0.25">
      <c r="O200" s="47"/>
    </row>
    <row r="201" spans="15:15" x14ac:dyDescent="0.25">
      <c r="O201" s="47"/>
    </row>
    <row r="202" spans="15:15" x14ac:dyDescent="0.25">
      <c r="O202" s="47"/>
    </row>
    <row r="203" spans="15:15" x14ac:dyDescent="0.25">
      <c r="O203" s="47"/>
    </row>
    <row r="204" spans="15:15" x14ac:dyDescent="0.25">
      <c r="O204" s="47"/>
    </row>
    <row r="205" spans="15:15" x14ac:dyDescent="0.25">
      <c r="O205" s="47"/>
    </row>
    <row r="206" spans="15:15" x14ac:dyDescent="0.25">
      <c r="O206" s="47"/>
    </row>
    <row r="207" spans="15:15" x14ac:dyDescent="0.25">
      <c r="O207" s="47"/>
    </row>
    <row r="208" spans="15:15" x14ac:dyDescent="0.25">
      <c r="O208" s="47"/>
    </row>
    <row r="209" spans="15:15" x14ac:dyDescent="0.25">
      <c r="O209" s="47"/>
    </row>
    <row r="210" spans="15:15" x14ac:dyDescent="0.25">
      <c r="O210" s="47"/>
    </row>
    <row r="211" spans="15:15" x14ac:dyDescent="0.25">
      <c r="O211" s="47"/>
    </row>
    <row r="212" spans="15:15" x14ac:dyDescent="0.25">
      <c r="O212" s="47"/>
    </row>
    <row r="213" spans="15:15" x14ac:dyDescent="0.25">
      <c r="O213" s="47"/>
    </row>
    <row r="214" spans="15:15" x14ac:dyDescent="0.25">
      <c r="O214" s="47"/>
    </row>
    <row r="215" spans="15:15" x14ac:dyDescent="0.25">
      <c r="O215" s="47"/>
    </row>
    <row r="216" spans="15:15" x14ac:dyDescent="0.25">
      <c r="O216" s="47"/>
    </row>
    <row r="217" spans="15:15" x14ac:dyDescent="0.25">
      <c r="O217" s="47"/>
    </row>
    <row r="218" spans="15:15" x14ac:dyDescent="0.25">
      <c r="O218" s="47"/>
    </row>
    <row r="219" spans="15:15" x14ac:dyDescent="0.25">
      <c r="O219" s="47"/>
    </row>
    <row r="220" spans="15:15" x14ac:dyDescent="0.25">
      <c r="O220" s="47"/>
    </row>
    <row r="221" spans="15:15" x14ac:dyDescent="0.25">
      <c r="O221" s="47"/>
    </row>
    <row r="222" spans="15:15" x14ac:dyDescent="0.25">
      <c r="O222" s="47"/>
    </row>
    <row r="223" spans="15:15" x14ac:dyDescent="0.25">
      <c r="O223" s="47"/>
    </row>
    <row r="224" spans="15:15" x14ac:dyDescent="0.25">
      <c r="O224" s="47"/>
    </row>
    <row r="225" spans="15:15" x14ac:dyDescent="0.25">
      <c r="O225" s="47"/>
    </row>
    <row r="226" spans="15:15" x14ac:dyDescent="0.25">
      <c r="O226" s="47"/>
    </row>
    <row r="227" spans="15:15" x14ac:dyDescent="0.25">
      <c r="O227" s="47"/>
    </row>
    <row r="228" spans="15:15" x14ac:dyDescent="0.25">
      <c r="O228" s="47"/>
    </row>
    <row r="229" spans="15:15" x14ac:dyDescent="0.25">
      <c r="O229" s="47"/>
    </row>
    <row r="230" spans="15:15" x14ac:dyDescent="0.25">
      <c r="O230" s="47"/>
    </row>
    <row r="231" spans="15:15" x14ac:dyDescent="0.25">
      <c r="O231" s="47"/>
    </row>
    <row r="232" spans="15:15" x14ac:dyDescent="0.25">
      <c r="O232" s="47"/>
    </row>
    <row r="233" spans="15:15" x14ac:dyDescent="0.25">
      <c r="O233" s="47"/>
    </row>
    <row r="234" spans="15:15" x14ac:dyDescent="0.25">
      <c r="O234" s="47"/>
    </row>
    <row r="235" spans="15:15" x14ac:dyDescent="0.25">
      <c r="O235" s="47"/>
    </row>
    <row r="236" spans="15:15" x14ac:dyDescent="0.25">
      <c r="O236" s="47"/>
    </row>
    <row r="237" spans="15:15" x14ac:dyDescent="0.25">
      <c r="O237" s="47"/>
    </row>
    <row r="238" spans="15:15" x14ac:dyDescent="0.25">
      <c r="O238" s="47"/>
    </row>
    <row r="239" spans="15:15" x14ac:dyDescent="0.25">
      <c r="O239" s="47"/>
    </row>
    <row r="240" spans="15:15" x14ac:dyDescent="0.25">
      <c r="O240" s="47"/>
    </row>
    <row r="241" spans="15:15" x14ac:dyDescent="0.25">
      <c r="O241" s="47"/>
    </row>
    <row r="242" spans="15:15" x14ac:dyDescent="0.25">
      <c r="O242" s="47"/>
    </row>
    <row r="243" spans="15:15" x14ac:dyDescent="0.25">
      <c r="O243" s="47"/>
    </row>
    <row r="244" spans="15:15" x14ac:dyDescent="0.25">
      <c r="O244" s="47"/>
    </row>
    <row r="245" spans="15:15" x14ac:dyDescent="0.25">
      <c r="O245" s="47"/>
    </row>
    <row r="246" spans="15:15" x14ac:dyDescent="0.25">
      <c r="O246" s="47"/>
    </row>
    <row r="247" spans="15:15" x14ac:dyDescent="0.25">
      <c r="O247" s="47"/>
    </row>
    <row r="248" spans="15:15" x14ac:dyDescent="0.25">
      <c r="O248" s="47"/>
    </row>
    <row r="249" spans="15:15" x14ac:dyDescent="0.25">
      <c r="O249" s="47"/>
    </row>
    <row r="250" spans="15:15" x14ac:dyDescent="0.25">
      <c r="O250" s="47"/>
    </row>
    <row r="251" spans="15:15" x14ac:dyDescent="0.25">
      <c r="O251" s="47"/>
    </row>
    <row r="252" spans="15:15" x14ac:dyDescent="0.25">
      <c r="O252" s="47"/>
    </row>
    <row r="253" spans="15:15" x14ac:dyDescent="0.25">
      <c r="O253" s="47"/>
    </row>
    <row r="254" spans="15:15" x14ac:dyDescent="0.25">
      <c r="O254" s="47"/>
    </row>
    <row r="255" spans="15:15" x14ac:dyDescent="0.25">
      <c r="O255" s="47"/>
    </row>
    <row r="256" spans="15:15" x14ac:dyDescent="0.25">
      <c r="O256" s="47"/>
    </row>
    <row r="257" spans="15:15" x14ac:dyDescent="0.25">
      <c r="O257" s="47"/>
    </row>
    <row r="258" spans="15:15" x14ac:dyDescent="0.25">
      <c r="O258" s="47"/>
    </row>
    <row r="259" spans="15:15" x14ac:dyDescent="0.25">
      <c r="O259" s="47"/>
    </row>
    <row r="260" spans="15:15" x14ac:dyDescent="0.25">
      <c r="O260" s="47"/>
    </row>
    <row r="261" spans="15:15" x14ac:dyDescent="0.25">
      <c r="O261" s="47"/>
    </row>
    <row r="262" spans="15:15" x14ac:dyDescent="0.25">
      <c r="O262" s="47"/>
    </row>
    <row r="263" spans="15:15" x14ac:dyDescent="0.25">
      <c r="O263" s="47"/>
    </row>
    <row r="264" spans="15:15" x14ac:dyDescent="0.25">
      <c r="O264" s="47"/>
    </row>
    <row r="265" spans="15:15" x14ac:dyDescent="0.25">
      <c r="O265" s="47"/>
    </row>
    <row r="266" spans="15:15" x14ac:dyDescent="0.25">
      <c r="O266" s="47"/>
    </row>
    <row r="267" spans="15:15" x14ac:dyDescent="0.25">
      <c r="O267" s="47"/>
    </row>
    <row r="268" spans="15:15" x14ac:dyDescent="0.25">
      <c r="O268" s="47"/>
    </row>
    <row r="269" spans="15:15" x14ac:dyDescent="0.25">
      <c r="O269" s="47"/>
    </row>
    <row r="270" spans="15:15" x14ac:dyDescent="0.25">
      <c r="O270" s="47"/>
    </row>
    <row r="271" spans="15:15" x14ac:dyDescent="0.25">
      <c r="O271" s="47"/>
    </row>
    <row r="272" spans="15:15" x14ac:dyDescent="0.25">
      <c r="O272" s="47"/>
    </row>
    <row r="273" spans="15:15" x14ac:dyDescent="0.25">
      <c r="O273" s="47"/>
    </row>
    <row r="274" spans="15:15" x14ac:dyDescent="0.25">
      <c r="O274" s="47"/>
    </row>
    <row r="275" spans="15:15" x14ac:dyDescent="0.25">
      <c r="O275" s="47"/>
    </row>
    <row r="276" spans="15:15" x14ac:dyDescent="0.25">
      <c r="O276" s="47"/>
    </row>
    <row r="277" spans="15:15" x14ac:dyDescent="0.25">
      <c r="O277" s="47"/>
    </row>
    <row r="278" spans="15:15" x14ac:dyDescent="0.25">
      <c r="O278" s="47"/>
    </row>
    <row r="279" spans="15:15" x14ac:dyDescent="0.25">
      <c r="O279" s="47"/>
    </row>
    <row r="280" spans="15:15" x14ac:dyDescent="0.25">
      <c r="O280" s="47"/>
    </row>
    <row r="281" spans="15:15" x14ac:dyDescent="0.25">
      <c r="O281" s="47"/>
    </row>
    <row r="282" spans="15:15" x14ac:dyDescent="0.25">
      <c r="O282" s="47"/>
    </row>
  </sheetData>
  <mergeCells count="4">
    <mergeCell ref="J1:N1"/>
    <mergeCell ref="O1:Y1"/>
    <mergeCell ref="A1:B1"/>
    <mergeCell ref="C1:H1"/>
  </mergeCells>
  <phoneticPr fontId="18" type="noConversion"/>
  <dataValidations count="6">
    <dataValidation type="list" allowBlank="1" showInputMessage="1" showErrorMessage="1" sqref="O283:O1048576" xr:uid="{73565452-4710-4D0B-9698-D55CEB7C275C}">
      <formula1>"Water Scarcity and Availability, Water-Related Hazards and Climate Variability, Water Quality, Water Policy, Planning, and Socioeconomics, Water Technology and innovation, Workforce Development and Water Literacy"</formula1>
    </dataValidation>
    <dataValidation type="list" allowBlank="1" showInputMessage="1" showErrorMessage="1" sqref="C3:C1048576" xr:uid="{12F9E581-9A04-4A54-89F7-7C6C903D8AE6}">
      <formula1>"Base Grant (104b), Coordination Grant, 104g - General, 104g - PFAS, 104g - AIS,"</formula1>
    </dataValidation>
    <dataValidation type="list" allowBlank="1" showInputMessage="1" showErrorMessage="1" sqref="B3:B1048576" xr:uid="{54C4CFF2-701E-4DE9-A0B3-DD747B9532A0}">
      <formula1>"Administration, Education and Training, Outreach and Engagement, Research, Student Internship, Other"</formula1>
    </dataValidation>
    <dataValidation type="list" allowBlank="1" showInputMessage="1" showErrorMessage="1" sqref="Q3:R1048576" xr:uid="{F23BE07D-782D-42A5-99A9-B437183327B8}">
      <formula1>"Arctic, California Bay-Delta, Chesapeake Bay, Columbia River, Everglades, Great Lakes, Gulf Coast, Klamath, Puget Sound, Salton Sea, Upper Mississippi River, None of the Above,"</formula1>
    </dataValidation>
    <dataValidation type="list" allowBlank="1" showInputMessage="1" showErrorMessage="1" sqref="T3:U1048576" xr:uid="{FE0A29DA-14E0-4EDD-AB96-7E05A3D47032}">
      <formula1>"Climate, Energy, HABs, Indian Water Rights, Natural Hazards, Oceans/Coastal/Great Lakes, STEM, Water Challenges, Other,"</formula1>
    </dataValidation>
    <dataValidation type="list" allowBlank="1" showInputMessage="1" showErrorMessage="1" sqref="P3:P1048576" xr:uid="{01AA05E2-C4B6-4CBA-B250-1B9E5F67F566}">
      <formula1>"Great Lakes, Great Plains, Mid-Atlantic, New England, Oceania and Islands, Pacific Northwest, Powell Consortium, South Atlantic-Gulf"</formula1>
    </dataValidation>
  </dataValidations>
  <pageMargins left="0.7" right="0.7" top="0.75" bottom="0.75" header="0.3" footer="0.3"/>
  <pageSetup scale="18" fitToHeight="0" orientation="landscape"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F7063E5E-09CA-4B21-93B8-46B339F3A542}">
          <x14:formula1>
            <xm:f>Keyword_drop_down_options!$A$2:$A$36</xm:f>
          </x14:formula1>
          <xm:sqref>V3:X1048576</xm:sqref>
        </x14:dataValidation>
        <x14:dataValidation type="list" allowBlank="1" showInputMessage="1" showErrorMessage="1" xr:uid="{FE54492D-0D51-4A2F-B10E-91405F7D5FE4}">
          <x14:formula1>
            <xm:f>Keyword_drop_down_options!$D$2:$D$8</xm:f>
          </x14:formula1>
          <xm:sqref>O3:O282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54764-E3FD-4D01-BFD9-00AC827D0716}">
  <sheetPr>
    <tabColor rgb="FF00B0F0"/>
  </sheetPr>
  <dimension ref="A1:E234"/>
  <sheetViews>
    <sheetView zoomScale="90" zoomScaleNormal="90" workbookViewId="0">
      <selection activeCell="B30" sqref="B30"/>
    </sheetView>
  </sheetViews>
  <sheetFormatPr defaultColWidth="8.85546875" defaultRowHeight="15" x14ac:dyDescent="0.25"/>
  <cols>
    <col min="1" max="1" width="44.42578125" style="27" customWidth="1"/>
    <col min="2" max="2" width="124.28515625" style="28" customWidth="1"/>
  </cols>
  <sheetData>
    <row r="1" spans="1:2" ht="57.75" thickBot="1" x14ac:dyDescent="0.3">
      <c r="A1" s="219" t="s">
        <v>333</v>
      </c>
      <c r="B1" s="357" t="s">
        <v>334</v>
      </c>
    </row>
    <row r="2" spans="1:2" ht="409.5" x14ac:dyDescent="0.25">
      <c r="A2" s="288" t="str">
        <f>IF(('Project Overview'!A3) &lt;&gt; 0, 'Project Overview'!A3, "")</f>
        <v>2014IL292S</v>
      </c>
      <c r="B2" s="285" t="s">
        <v>335</v>
      </c>
    </row>
    <row r="3" spans="1:2" ht="183" customHeight="1" x14ac:dyDescent="0.25">
      <c r="A3" s="288" t="str">
        <f>IF(('Project Overview'!A4) &lt;&gt; 0, 'Project Overview'!A4, "")</f>
        <v>2015IL298G</v>
      </c>
      <c r="B3" s="286" t="s">
        <v>509</v>
      </c>
    </row>
    <row r="4" spans="1:2" ht="90" x14ac:dyDescent="0.25">
      <c r="A4" s="288" t="str">
        <f>IF(('Project Overview'!A5) &lt;&gt; 0, 'Project Overview'!A5, "")</f>
        <v>2016IL311B</v>
      </c>
      <c r="B4" s="286" t="s">
        <v>336</v>
      </c>
    </row>
    <row r="5" spans="1:2" ht="90" x14ac:dyDescent="0.25">
      <c r="A5" s="288" t="str">
        <f>IF(('Project Overview'!A6) &lt;&gt; 0, 'Project Overview'!A6, "")</f>
        <v>2016IL312B</v>
      </c>
      <c r="B5" s="286" t="s">
        <v>337</v>
      </c>
    </row>
    <row r="6" spans="1:2" ht="315" x14ac:dyDescent="0.25">
      <c r="A6" s="288" t="str">
        <f>IF(('Project Overview'!A7) &lt;&gt; 0, 'Project Overview'!A7, "")</f>
        <v>2016IL313B</v>
      </c>
      <c r="B6" s="286" t="s">
        <v>510</v>
      </c>
    </row>
    <row r="7" spans="1:2" ht="285" x14ac:dyDescent="0.25">
      <c r="A7" s="288" t="str">
        <f>IF(('Project Overview'!A8) &lt;&gt; 0, 'Project Overview'!A8, "")</f>
        <v>2016IL314B</v>
      </c>
      <c r="B7" s="286" t="s">
        <v>511</v>
      </c>
    </row>
    <row r="8" spans="1:2" ht="195" x14ac:dyDescent="0.25">
      <c r="A8" s="288" t="str">
        <f>IF(('Project Overview'!A9) &lt;&gt; 0, 'Project Overview'!A9, "")</f>
        <v>2016IL315B</v>
      </c>
      <c r="B8" s="286" t="s">
        <v>338</v>
      </c>
    </row>
    <row r="9" spans="1:2" ht="105" x14ac:dyDescent="0.25">
      <c r="A9" s="288" t="str">
        <f>IF(('Project Overview'!A10) &lt;&gt; 0, 'Project Overview'!A10, "")</f>
        <v>2017IL329B</v>
      </c>
      <c r="B9" s="286" t="s">
        <v>339</v>
      </c>
    </row>
    <row r="10" spans="1:2" ht="105" x14ac:dyDescent="0.25">
      <c r="A10" s="288" t="str">
        <f>IF(('Project Overview'!A11) &lt;&gt; 0, 'Project Overview'!A11, "")</f>
        <v>2017IL330B</v>
      </c>
      <c r="B10" s="354" t="s">
        <v>340</v>
      </c>
    </row>
    <row r="11" spans="1:2" ht="45" x14ac:dyDescent="0.25">
      <c r="A11" s="288" t="str">
        <f>IF(('Project Overview'!A12) &lt;&gt; 0, 'Project Overview'!A12, "")</f>
        <v>2017IL331B</v>
      </c>
      <c r="B11" s="354" t="s">
        <v>341</v>
      </c>
    </row>
    <row r="12" spans="1:2" ht="120" x14ac:dyDescent="0.25">
      <c r="A12" s="288" t="str">
        <f>IF(('Project Overview'!A13) &lt;&gt; 0, 'Project Overview'!A13, "")</f>
        <v>2017IL332B</v>
      </c>
      <c r="B12" s="286" t="s">
        <v>342</v>
      </c>
    </row>
    <row r="13" spans="1:2" ht="330" x14ac:dyDescent="0.25">
      <c r="A13" s="288" t="str">
        <f>IF(('Project Overview'!A14) &lt;&gt; 0, 'Project Overview'!A14, "")</f>
        <v>2017IL333B</v>
      </c>
      <c r="B13" s="286" t="s">
        <v>343</v>
      </c>
    </row>
    <row r="14" spans="1:2" ht="210" x14ac:dyDescent="0.25">
      <c r="A14" s="288" t="str">
        <f>IF(('Project Overview'!A15) &lt;&gt; 0, 'Project Overview'!A15, "")</f>
        <v>2017IL337S</v>
      </c>
      <c r="B14" s="286" t="s">
        <v>344</v>
      </c>
    </row>
    <row r="15" spans="1:2" ht="45" x14ac:dyDescent="0.25">
      <c r="A15" s="288" t="str">
        <f>IF(('Project Overview'!A16) &lt;&gt; 0, 'Project Overview'!A16, "")</f>
        <v>2017IL334B</v>
      </c>
      <c r="B15" s="286" t="s">
        <v>345</v>
      </c>
    </row>
    <row r="16" spans="1:2" ht="60" x14ac:dyDescent="0.25">
      <c r="A16" s="288" t="str">
        <f>IF(('Project Overview'!A17) &lt;&gt; 0, 'Project Overview'!A17, "")</f>
        <v>2018IL339B</v>
      </c>
      <c r="B16" s="286" t="s">
        <v>346</v>
      </c>
    </row>
    <row r="17" spans="1:5" ht="60" x14ac:dyDescent="0.25">
      <c r="A17" s="288" t="str">
        <f>IF(('Project Overview'!A18) &lt;&gt; 0, 'Project Overview'!A18, "")</f>
        <v>2018IL340B</v>
      </c>
      <c r="B17" s="354" t="s">
        <v>347</v>
      </c>
    </row>
    <row r="18" spans="1:5" ht="120" x14ac:dyDescent="0.25">
      <c r="A18" s="288" t="str">
        <f>IF(('Project Overview'!A19) &lt;&gt; 0, 'Project Overview'!A19, "")</f>
        <v>2018IL341B</v>
      </c>
      <c r="B18" s="354" t="s">
        <v>348</v>
      </c>
    </row>
    <row r="19" spans="1:5" ht="180" x14ac:dyDescent="0.25">
      <c r="A19" s="288" t="str">
        <f>IF(('Project Overview'!A20) &lt;&gt; 0, 'Project Overview'!A20, "")</f>
        <v>2018IL338B</v>
      </c>
      <c r="B19" s="354" t="s">
        <v>349</v>
      </c>
    </row>
    <row r="20" spans="1:5" ht="60" x14ac:dyDescent="0.25">
      <c r="A20" s="288" t="str">
        <f>IF(('Project Overview'!A21) &lt;&gt; 0, 'Project Overview'!A21, "")</f>
        <v>2018IL342B-Sangamon</v>
      </c>
      <c r="B20" s="286" t="s">
        <v>350</v>
      </c>
    </row>
    <row r="21" spans="1:5" ht="120" x14ac:dyDescent="0.25">
      <c r="A21" s="288" t="str">
        <f>IF(('Project Overview'!A22) &lt;&gt; 0, 'Project Overview'!A22, "")</f>
        <v>2018IL342B-TRTDTRT</v>
      </c>
      <c r="B21" s="286" t="s">
        <v>351</v>
      </c>
    </row>
    <row r="22" spans="1:5" ht="180" x14ac:dyDescent="0.25">
      <c r="A22" s="288" t="str">
        <f>IF(('Project Overview'!A23) &lt;&gt; 0, 'Project Overview'!A23, "")</f>
        <v>2018IL342B-Rantoul</v>
      </c>
      <c r="B22" s="286" t="s">
        <v>352</v>
      </c>
    </row>
    <row r="23" spans="1:5" ht="135" x14ac:dyDescent="0.25">
      <c r="A23" s="288" t="str">
        <f>IF(('Project Overview'!A24) &lt;&gt; 0, 'Project Overview'!A24, "")</f>
        <v>2019IL089B</v>
      </c>
      <c r="B23" s="286" t="s">
        <v>353</v>
      </c>
    </row>
    <row r="24" spans="1:5" ht="210" x14ac:dyDescent="0.25">
      <c r="A24" s="288" t="str">
        <f>IF(('Project Overview'!A25) &lt;&gt; 0, 'Project Overview'!A25, "")</f>
        <v>2019IL090B</v>
      </c>
      <c r="B24" s="286" t="s">
        <v>354</v>
      </c>
    </row>
    <row r="25" spans="1:5" ht="165" x14ac:dyDescent="0.25">
      <c r="A25" s="288" t="str">
        <f>IF(('Project Overview'!A26) &lt;&gt; 0, 'Project Overview'!A26, "")</f>
        <v>2019IL091B</v>
      </c>
      <c r="B25" s="286" t="s">
        <v>355</v>
      </c>
    </row>
    <row r="26" spans="1:5" ht="105" x14ac:dyDescent="0.25">
      <c r="A26" s="288" t="str">
        <f>IF(('Project Overview'!A27) &lt;&gt; 0, 'Project Overview'!A27, "")</f>
        <v>2019IL092B</v>
      </c>
      <c r="B26" s="286" t="s">
        <v>356</v>
      </c>
    </row>
    <row r="27" spans="1:5" ht="210" x14ac:dyDescent="0.25">
      <c r="A27" s="288" t="str">
        <f>IF(('Project Overview'!A28) &lt;&gt; 0, 'Project Overview'!A28, "")</f>
        <v>2020IL216B</v>
      </c>
      <c r="B27" s="286" t="s">
        <v>357</v>
      </c>
    </row>
    <row r="28" spans="1:5" ht="135" x14ac:dyDescent="0.25">
      <c r="A28" s="288" t="str">
        <f>IF(('Project Overview'!A29) &lt;&gt; 0, 'Project Overview'!A29, "")</f>
        <v>2020IL212B</v>
      </c>
      <c r="B28" s="286" t="s">
        <v>358</v>
      </c>
    </row>
    <row r="29" spans="1:5" ht="108" customHeight="1" x14ac:dyDescent="0.25">
      <c r="A29" s="288" t="str">
        <f>IF(('Project Overview'!A30) &lt;&gt; 0, 'Project Overview'!A30, "")</f>
        <v>2020IL214B</v>
      </c>
      <c r="B29" s="286" t="s">
        <v>359</v>
      </c>
    </row>
    <row r="30" spans="1:5" ht="180" x14ac:dyDescent="0.25">
      <c r="A30" s="288" t="str">
        <f>IF(('Project Overview'!A31) &lt;&gt; 0, 'Project Overview'!A31, "")</f>
        <v>2020IL217B</v>
      </c>
      <c r="B30" s="286" t="s">
        <v>360</v>
      </c>
      <c r="E30" s="245"/>
    </row>
    <row r="31" spans="1:5" ht="210" x14ac:dyDescent="0.25">
      <c r="A31" s="288" t="str">
        <f>IF(('Project Overview'!A32) &lt;&gt; 0, 'Project Overview'!A32, "")</f>
        <v>2020IL215B</v>
      </c>
      <c r="B31" s="286" t="s">
        <v>361</v>
      </c>
    </row>
    <row r="32" spans="1:5" ht="180" x14ac:dyDescent="0.25">
      <c r="A32" s="288" t="str">
        <f>IF(('Project Overview'!A33) &lt;&gt; 0, 'Project Overview'!A33, "")</f>
        <v>2020IL218B</v>
      </c>
      <c r="B32" s="286" t="s">
        <v>362</v>
      </c>
    </row>
    <row r="33" spans="1:2" x14ac:dyDescent="0.25">
      <c r="A33" s="288" t="str">
        <f>IF(('Project Overview'!A34) &lt;&gt; 0, 'Project Overview'!A34, "")</f>
        <v>2020IL103AIS</v>
      </c>
      <c r="B33" s="287" t="s">
        <v>363</v>
      </c>
    </row>
    <row r="34" spans="1:2" ht="108" customHeight="1" x14ac:dyDescent="0.25">
      <c r="A34" s="37" t="str">
        <f>IF(('Project Overview'!A35) &lt;&gt; 0, 'Project Overview'!A35, "")</f>
        <v/>
      </c>
      <c r="B34" s="180"/>
    </row>
    <row r="35" spans="1:2" ht="108" customHeight="1" x14ac:dyDescent="0.25">
      <c r="A35" s="37" t="str">
        <f>IF(('Project Overview'!A36) &lt;&gt; 0, 'Project Overview'!A36, "")</f>
        <v/>
      </c>
      <c r="B35" s="180"/>
    </row>
    <row r="36" spans="1:2" ht="108" customHeight="1" x14ac:dyDescent="0.25">
      <c r="A36" s="37" t="str">
        <f>IF(('Project Overview'!A37) &lt;&gt; 0, 'Project Overview'!A37, "")</f>
        <v/>
      </c>
      <c r="B36" s="180"/>
    </row>
    <row r="37" spans="1:2" ht="108" customHeight="1" x14ac:dyDescent="0.25">
      <c r="A37" s="37" t="str">
        <f>IF(('Project Overview'!A38) &lt;&gt; 0, 'Project Overview'!A38, "")</f>
        <v/>
      </c>
      <c r="B37" s="180"/>
    </row>
    <row r="38" spans="1:2" ht="108" customHeight="1" x14ac:dyDescent="0.25">
      <c r="A38" s="37" t="str">
        <f>IF(('Project Overview'!A39) &lt;&gt; 0, 'Project Overview'!A39, "")</f>
        <v/>
      </c>
      <c r="B38" s="180"/>
    </row>
    <row r="39" spans="1:2" ht="108" customHeight="1" x14ac:dyDescent="0.25">
      <c r="A39" s="37" t="str">
        <f>IF(('Project Overview'!A40) &lt;&gt; 0, 'Project Overview'!A40, "")</f>
        <v/>
      </c>
      <c r="B39" s="180"/>
    </row>
    <row r="40" spans="1:2" ht="108" customHeight="1" x14ac:dyDescent="0.25">
      <c r="A40" s="37" t="str">
        <f>IF(('Project Overview'!A41) &lt;&gt; 0, 'Project Overview'!A41, "")</f>
        <v/>
      </c>
      <c r="B40" s="180"/>
    </row>
    <row r="41" spans="1:2" ht="108" customHeight="1" x14ac:dyDescent="0.25">
      <c r="A41" s="37" t="str">
        <f>IF(('Project Overview'!A42) &lt;&gt; 0, 'Project Overview'!A42, "")</f>
        <v/>
      </c>
      <c r="B41" s="180"/>
    </row>
    <row r="42" spans="1:2" ht="108" customHeight="1" x14ac:dyDescent="0.25">
      <c r="A42" s="37" t="str">
        <f>IF(('Project Overview'!A43) &lt;&gt; 0, 'Project Overview'!A43, "")</f>
        <v/>
      </c>
      <c r="B42" s="180"/>
    </row>
    <row r="43" spans="1:2" ht="108" customHeight="1" x14ac:dyDescent="0.25">
      <c r="A43" s="37" t="str">
        <f>IF(('Project Overview'!A44) &lt;&gt; 0, 'Project Overview'!A44, "")</f>
        <v/>
      </c>
      <c r="B43" s="180"/>
    </row>
    <row r="44" spans="1:2" ht="108" customHeight="1" x14ac:dyDescent="0.25">
      <c r="A44" s="37" t="str">
        <f>IF(('Project Overview'!A45) &lt;&gt; 0, 'Project Overview'!A45, "")</f>
        <v/>
      </c>
    </row>
    <row r="45" spans="1:2" ht="108" customHeight="1" x14ac:dyDescent="0.25">
      <c r="A45" s="37" t="str">
        <f>IF(('Project Overview'!A46) &lt;&gt; 0, 'Project Overview'!A46, "")</f>
        <v/>
      </c>
    </row>
    <row r="46" spans="1:2" ht="108" customHeight="1" x14ac:dyDescent="0.25">
      <c r="A46" s="37" t="str">
        <f>IF(('Project Overview'!A47) &lt;&gt; 0, 'Project Overview'!A47, "")</f>
        <v/>
      </c>
    </row>
    <row r="47" spans="1:2" ht="108" customHeight="1" x14ac:dyDescent="0.25">
      <c r="A47" s="37" t="str">
        <f>IF(('Project Overview'!A48) &lt;&gt; 0, 'Project Overview'!A48, "")</f>
        <v/>
      </c>
    </row>
    <row r="48" spans="1:2" ht="108" customHeight="1" x14ac:dyDescent="0.25">
      <c r="A48" s="37" t="str">
        <f>IF(('Project Overview'!A49) &lt;&gt; 0, 'Project Overview'!A49, "")</f>
        <v/>
      </c>
    </row>
    <row r="49" spans="1:1" ht="108" customHeight="1" x14ac:dyDescent="0.25">
      <c r="A49" s="37" t="str">
        <f>IF(('Project Overview'!A50) &lt;&gt; 0, 'Project Overview'!A50, "")</f>
        <v/>
      </c>
    </row>
    <row r="50" spans="1:1" ht="108" customHeight="1" x14ac:dyDescent="0.25">
      <c r="A50" s="37" t="str">
        <f>IF(('Project Overview'!A51) &lt;&gt; 0, 'Project Overview'!A51, "")</f>
        <v/>
      </c>
    </row>
    <row r="51" spans="1:1" ht="108" customHeight="1" x14ac:dyDescent="0.25">
      <c r="A51" s="37" t="str">
        <f>IF(('Project Overview'!A52) &lt;&gt; 0, 'Project Overview'!A52, "")</f>
        <v/>
      </c>
    </row>
    <row r="52" spans="1:1" ht="108" customHeight="1" x14ac:dyDescent="0.25">
      <c r="A52" s="37" t="str">
        <f>IF(('Project Overview'!A53) &lt;&gt; 0, 'Project Overview'!A53, "")</f>
        <v/>
      </c>
    </row>
    <row r="53" spans="1:1" ht="108" customHeight="1" x14ac:dyDescent="0.25">
      <c r="A53" s="37" t="str">
        <f>IF(('Project Overview'!A54) &lt;&gt; 0, 'Project Overview'!A54, "")</f>
        <v/>
      </c>
    </row>
    <row r="54" spans="1:1" ht="108" customHeight="1" x14ac:dyDescent="0.25">
      <c r="A54" s="37" t="str">
        <f>IF(('Project Overview'!A55) &lt;&gt; 0, 'Project Overview'!A55, "")</f>
        <v/>
      </c>
    </row>
    <row r="55" spans="1:1" ht="108" customHeight="1" x14ac:dyDescent="0.25">
      <c r="A55" s="37" t="str">
        <f>IF(('Project Overview'!A56) &lt;&gt; 0, 'Project Overview'!A56, "")</f>
        <v/>
      </c>
    </row>
    <row r="56" spans="1:1" ht="108" customHeight="1" x14ac:dyDescent="0.25">
      <c r="A56" s="37" t="str">
        <f>IF(('Project Overview'!A57) &lt;&gt; 0, 'Project Overview'!A57, "")</f>
        <v/>
      </c>
    </row>
    <row r="57" spans="1:1" ht="108" customHeight="1" x14ac:dyDescent="0.25">
      <c r="A57" s="37" t="str">
        <f>IF(('Project Overview'!A58) &lt;&gt; 0, 'Project Overview'!A58, "")</f>
        <v/>
      </c>
    </row>
    <row r="58" spans="1:1" ht="108" customHeight="1" x14ac:dyDescent="0.25">
      <c r="A58" s="37" t="str">
        <f>IF(('Project Overview'!A59) &lt;&gt; 0, 'Project Overview'!A59, "")</f>
        <v/>
      </c>
    </row>
    <row r="59" spans="1:1" ht="108" customHeight="1" x14ac:dyDescent="0.25">
      <c r="A59" s="37" t="str">
        <f>IF(('Project Overview'!A60) &lt;&gt; 0, 'Project Overview'!A60, "")</f>
        <v/>
      </c>
    </row>
    <row r="60" spans="1:1" ht="108" customHeight="1" x14ac:dyDescent="0.25">
      <c r="A60" s="37" t="str">
        <f>IF(('Project Overview'!A61) &lt;&gt; 0, 'Project Overview'!A61, "")</f>
        <v/>
      </c>
    </row>
    <row r="61" spans="1:1" ht="108" customHeight="1" x14ac:dyDescent="0.25">
      <c r="A61" s="37" t="str">
        <f>IF(('Project Overview'!A62) &lt;&gt; 0, 'Project Overview'!A62, "")</f>
        <v/>
      </c>
    </row>
    <row r="62" spans="1:1" ht="108" customHeight="1" x14ac:dyDescent="0.25">
      <c r="A62" s="37" t="str">
        <f>IF(('Project Overview'!A63) &lt;&gt; 0, 'Project Overview'!A63, "")</f>
        <v/>
      </c>
    </row>
    <row r="63" spans="1:1" ht="108" customHeight="1" x14ac:dyDescent="0.25">
      <c r="A63" s="37" t="str">
        <f>IF(('Project Overview'!A64) &lt;&gt; 0, 'Project Overview'!A64, "")</f>
        <v/>
      </c>
    </row>
    <row r="64" spans="1:1" ht="108" customHeight="1" x14ac:dyDescent="0.25">
      <c r="A64" s="37" t="str">
        <f>IF(('Project Overview'!A65) &lt;&gt; 0, 'Project Overview'!A65, "")</f>
        <v/>
      </c>
    </row>
    <row r="65" spans="1:1" ht="108" customHeight="1" x14ac:dyDescent="0.25">
      <c r="A65" s="37" t="str">
        <f>IF(('Project Overview'!A66) &lt;&gt; 0, 'Project Overview'!A66, "")</f>
        <v/>
      </c>
    </row>
    <row r="66" spans="1:1" ht="108" customHeight="1" x14ac:dyDescent="0.25">
      <c r="A66" s="37" t="str">
        <f>IF(('Project Overview'!A67) &lt;&gt; 0, 'Project Overview'!A67, "")</f>
        <v/>
      </c>
    </row>
    <row r="67" spans="1:1" ht="108" customHeight="1" x14ac:dyDescent="0.25">
      <c r="A67" s="37" t="str">
        <f>IF(('Project Overview'!A68) &lt;&gt; 0, 'Project Overview'!A68, "")</f>
        <v/>
      </c>
    </row>
    <row r="68" spans="1:1" ht="108" customHeight="1" x14ac:dyDescent="0.25">
      <c r="A68" s="37" t="str">
        <f>IF(('Project Overview'!A69) &lt;&gt; 0, 'Project Overview'!A69, "")</f>
        <v/>
      </c>
    </row>
    <row r="69" spans="1:1" ht="108" customHeight="1" x14ac:dyDescent="0.25">
      <c r="A69" s="37" t="str">
        <f>IF(('Project Overview'!A70) &lt;&gt; 0, 'Project Overview'!A70, "")</f>
        <v/>
      </c>
    </row>
    <row r="70" spans="1:1" ht="108" customHeight="1" x14ac:dyDescent="0.25">
      <c r="A70" s="37" t="str">
        <f>IF(('Project Overview'!A71) &lt;&gt; 0, 'Project Overview'!A71, "")</f>
        <v/>
      </c>
    </row>
    <row r="71" spans="1:1" ht="108" customHeight="1" x14ac:dyDescent="0.25">
      <c r="A71" s="37" t="str">
        <f>IF(('Project Overview'!A72) &lt;&gt; 0, 'Project Overview'!A72, "")</f>
        <v/>
      </c>
    </row>
    <row r="72" spans="1:1" ht="108" customHeight="1" x14ac:dyDescent="0.25">
      <c r="A72" s="37" t="str">
        <f>IF(('Project Overview'!A73) &lt;&gt; 0, 'Project Overview'!A73, "")</f>
        <v/>
      </c>
    </row>
    <row r="73" spans="1:1" ht="108" customHeight="1" x14ac:dyDescent="0.25">
      <c r="A73" s="37" t="str">
        <f>IF(('Project Overview'!A74) &lt;&gt; 0, 'Project Overview'!A74, "")</f>
        <v/>
      </c>
    </row>
    <row r="74" spans="1:1" ht="108" customHeight="1" x14ac:dyDescent="0.25">
      <c r="A74" s="37" t="str">
        <f>IF(('Project Overview'!A75) &lt;&gt; 0, 'Project Overview'!A75, "")</f>
        <v/>
      </c>
    </row>
    <row r="75" spans="1:1" ht="108" customHeight="1" x14ac:dyDescent="0.25">
      <c r="A75" s="37" t="str">
        <f>IF(('Project Overview'!A76) &lt;&gt; 0, 'Project Overview'!A76, "")</f>
        <v/>
      </c>
    </row>
    <row r="76" spans="1:1" ht="108" customHeight="1" x14ac:dyDescent="0.25">
      <c r="A76" s="37" t="str">
        <f>IF(('Project Overview'!A77) &lt;&gt; 0, 'Project Overview'!A77, "")</f>
        <v/>
      </c>
    </row>
    <row r="77" spans="1:1" ht="108" customHeight="1" x14ac:dyDescent="0.25">
      <c r="A77" s="37" t="str">
        <f>IF(('Project Overview'!A78) &lt;&gt; 0, 'Project Overview'!A78, "")</f>
        <v/>
      </c>
    </row>
    <row r="78" spans="1:1" ht="108" customHeight="1" x14ac:dyDescent="0.25">
      <c r="A78" s="37" t="str">
        <f>IF(('Project Overview'!A79) &lt;&gt; 0, 'Project Overview'!A79, "")</f>
        <v/>
      </c>
    </row>
    <row r="79" spans="1:1" ht="108" customHeight="1" x14ac:dyDescent="0.25">
      <c r="A79" s="37" t="str">
        <f>IF(('Project Overview'!A80) &lt;&gt; 0, 'Project Overview'!A80, "")</f>
        <v/>
      </c>
    </row>
    <row r="80" spans="1:1" ht="108" customHeight="1" x14ac:dyDescent="0.25">
      <c r="A80" s="37" t="str">
        <f>IF(('Project Overview'!A81) &lt;&gt; 0, 'Project Overview'!A81, "")</f>
        <v/>
      </c>
    </row>
    <row r="81" spans="1:1" ht="108" customHeight="1" x14ac:dyDescent="0.25">
      <c r="A81" s="37" t="str">
        <f>IF(('Project Overview'!A82) &lt;&gt; 0, 'Project Overview'!A82, "")</f>
        <v/>
      </c>
    </row>
    <row r="82" spans="1:1" ht="108" customHeight="1" x14ac:dyDescent="0.25">
      <c r="A82" s="37" t="str">
        <f>IF(('Project Overview'!A83) &lt;&gt; 0, 'Project Overview'!A83, "")</f>
        <v/>
      </c>
    </row>
    <row r="83" spans="1:1" ht="108" customHeight="1" x14ac:dyDescent="0.25">
      <c r="A83" s="37" t="str">
        <f>IF(('Project Overview'!A84) &lt;&gt; 0, 'Project Overview'!A84, "")</f>
        <v/>
      </c>
    </row>
    <row r="84" spans="1:1" ht="108" customHeight="1" x14ac:dyDescent="0.25">
      <c r="A84" s="37" t="str">
        <f>IF(('Project Overview'!A85) &lt;&gt; 0, 'Project Overview'!A85, "")</f>
        <v/>
      </c>
    </row>
    <row r="85" spans="1:1" ht="108" customHeight="1" x14ac:dyDescent="0.25">
      <c r="A85" s="37" t="str">
        <f>IF(('Project Overview'!A86) &lt;&gt; 0, 'Project Overview'!A86, "")</f>
        <v/>
      </c>
    </row>
    <row r="86" spans="1:1" ht="108" customHeight="1" x14ac:dyDescent="0.25">
      <c r="A86" s="37" t="str">
        <f>IF(('Project Overview'!A87) &lt;&gt; 0, 'Project Overview'!A87, "")</f>
        <v/>
      </c>
    </row>
    <row r="87" spans="1:1" ht="108" customHeight="1" x14ac:dyDescent="0.25">
      <c r="A87" s="37" t="str">
        <f>IF(('Project Overview'!A88) &lt;&gt; 0, 'Project Overview'!A88, "")</f>
        <v/>
      </c>
    </row>
    <row r="88" spans="1:1" ht="108" customHeight="1" x14ac:dyDescent="0.25">
      <c r="A88" s="37" t="str">
        <f>IF(('Project Overview'!A89) &lt;&gt; 0, 'Project Overview'!A89, "")</f>
        <v/>
      </c>
    </row>
    <row r="89" spans="1:1" ht="108" customHeight="1" x14ac:dyDescent="0.25">
      <c r="A89" s="37" t="str">
        <f>IF(('Project Overview'!A90) &lt;&gt; 0, 'Project Overview'!A90, "")</f>
        <v/>
      </c>
    </row>
    <row r="90" spans="1:1" ht="108" customHeight="1" x14ac:dyDescent="0.25">
      <c r="A90" s="37" t="str">
        <f>IF(('Project Overview'!A91) &lt;&gt; 0, 'Project Overview'!A91, "")</f>
        <v/>
      </c>
    </row>
    <row r="91" spans="1:1" ht="108" customHeight="1" x14ac:dyDescent="0.25">
      <c r="A91" s="37" t="str">
        <f>IF(('Project Overview'!A92) &lt;&gt; 0, 'Project Overview'!A92, "")</f>
        <v/>
      </c>
    </row>
    <row r="92" spans="1:1" ht="108" customHeight="1" x14ac:dyDescent="0.25">
      <c r="A92" s="37" t="str">
        <f>IF(('Project Overview'!A93) &lt;&gt; 0, 'Project Overview'!A93, "")</f>
        <v/>
      </c>
    </row>
    <row r="93" spans="1:1" ht="108" customHeight="1" x14ac:dyDescent="0.25">
      <c r="A93" s="37" t="str">
        <f>IF(('Project Overview'!A94) &lt;&gt; 0, 'Project Overview'!A94, "")</f>
        <v/>
      </c>
    </row>
    <row r="94" spans="1:1" ht="108" customHeight="1" x14ac:dyDescent="0.25">
      <c r="A94" s="37" t="str">
        <f>IF(('Project Overview'!A95) &lt;&gt; 0, 'Project Overview'!A95, "")</f>
        <v/>
      </c>
    </row>
    <row r="95" spans="1:1" ht="108" customHeight="1" x14ac:dyDescent="0.25">
      <c r="A95" s="37" t="str">
        <f>IF(('Project Overview'!A96) &lt;&gt; 0, 'Project Overview'!A96, "")</f>
        <v/>
      </c>
    </row>
    <row r="96" spans="1:1" ht="108" customHeight="1" x14ac:dyDescent="0.25">
      <c r="A96" s="37" t="str">
        <f>IF(('Project Overview'!A97) &lt;&gt; 0, 'Project Overview'!A97, "")</f>
        <v/>
      </c>
    </row>
    <row r="97" spans="1:1" ht="108" customHeight="1" x14ac:dyDescent="0.25">
      <c r="A97" s="37" t="str">
        <f>IF(('Project Overview'!A98) &lt;&gt; 0, 'Project Overview'!A98, "")</f>
        <v/>
      </c>
    </row>
    <row r="98" spans="1:1" ht="108" customHeight="1" x14ac:dyDescent="0.25">
      <c r="A98" s="37" t="str">
        <f>IF(('Project Overview'!A99) &lt;&gt; 0, 'Project Overview'!A99, "")</f>
        <v/>
      </c>
    </row>
    <row r="99" spans="1:1" ht="108" customHeight="1" x14ac:dyDescent="0.25">
      <c r="A99" s="37" t="str">
        <f>IF(('Project Overview'!A102) &lt;&gt; 0, 'Project Overview'!A102, "")</f>
        <v/>
      </c>
    </row>
    <row r="100" spans="1:1" ht="108" customHeight="1" x14ac:dyDescent="0.25">
      <c r="A100" s="37" t="str">
        <f>IF(('Project Overview'!A103) &lt;&gt; 0, 'Project Overview'!A103, "")</f>
        <v/>
      </c>
    </row>
    <row r="101" spans="1:1" ht="108" customHeight="1" x14ac:dyDescent="0.25">
      <c r="A101" s="37" t="str">
        <f>IF(('Project Overview'!A104) &lt;&gt; 0, 'Project Overview'!A104, "")</f>
        <v/>
      </c>
    </row>
    <row r="102" spans="1:1" ht="108" customHeight="1" x14ac:dyDescent="0.25">
      <c r="A102" s="37" t="str">
        <f>IF(('Project Overview'!A105) &lt;&gt; 0, 'Project Overview'!A105, "")</f>
        <v/>
      </c>
    </row>
    <row r="103" spans="1:1" ht="108" customHeight="1" x14ac:dyDescent="0.25">
      <c r="A103" s="37" t="str">
        <f>IF(('Project Overview'!A106) &lt;&gt; 0, 'Project Overview'!A106, "")</f>
        <v/>
      </c>
    </row>
    <row r="104" spans="1:1" ht="108" customHeight="1" x14ac:dyDescent="0.25">
      <c r="A104" s="37" t="str">
        <f>IF(('Project Overview'!A107) &lt;&gt; 0, 'Project Overview'!A107, "")</f>
        <v/>
      </c>
    </row>
    <row r="105" spans="1:1" ht="108" customHeight="1" x14ac:dyDescent="0.25">
      <c r="A105" s="37" t="str">
        <f>IF(('Project Overview'!A108) &lt;&gt; 0, 'Project Overview'!A108, "")</f>
        <v/>
      </c>
    </row>
    <row r="106" spans="1:1" ht="108" customHeight="1" x14ac:dyDescent="0.25">
      <c r="A106" s="37" t="str">
        <f>IF(('Project Overview'!A109) &lt;&gt; 0, 'Project Overview'!A109, "")</f>
        <v/>
      </c>
    </row>
    <row r="107" spans="1:1" ht="108" customHeight="1" x14ac:dyDescent="0.25">
      <c r="A107" s="37" t="str">
        <f>IF(('Project Overview'!A110) &lt;&gt; 0, 'Project Overview'!A110, "")</f>
        <v/>
      </c>
    </row>
    <row r="108" spans="1:1" ht="108" customHeight="1" x14ac:dyDescent="0.25">
      <c r="A108" s="37" t="str">
        <f>IF(('Project Overview'!A111) &lt;&gt; 0, 'Project Overview'!A111, "")</f>
        <v/>
      </c>
    </row>
    <row r="109" spans="1:1" ht="108" customHeight="1" x14ac:dyDescent="0.25">
      <c r="A109" s="37" t="str">
        <f>IF(('Project Overview'!A112) &lt;&gt; 0, 'Project Overview'!A112, "")</f>
        <v/>
      </c>
    </row>
    <row r="110" spans="1:1" ht="108" customHeight="1" x14ac:dyDescent="0.25">
      <c r="A110" s="37" t="str">
        <f>IF(('Project Overview'!A113) &lt;&gt; 0, 'Project Overview'!A113, "")</f>
        <v/>
      </c>
    </row>
    <row r="111" spans="1:1" ht="108" customHeight="1" x14ac:dyDescent="0.25">
      <c r="A111" s="37" t="str">
        <f>IF(('Project Overview'!A114) &lt;&gt; 0, 'Project Overview'!A114, "")</f>
        <v/>
      </c>
    </row>
    <row r="112" spans="1:1" ht="108" customHeight="1" x14ac:dyDescent="0.25">
      <c r="A112" s="37" t="str">
        <f>IF(('Project Overview'!A115) &lt;&gt; 0, 'Project Overview'!A115, "")</f>
        <v/>
      </c>
    </row>
    <row r="113" spans="1:1" ht="108" customHeight="1" x14ac:dyDescent="0.25">
      <c r="A113" s="37" t="str">
        <f>IF(('Project Overview'!A116) &lt;&gt; 0, 'Project Overview'!A116, "")</f>
        <v/>
      </c>
    </row>
    <row r="114" spans="1:1" ht="108" customHeight="1" x14ac:dyDescent="0.25">
      <c r="A114" s="37" t="str">
        <f>IF(('Project Overview'!A117) &lt;&gt; 0, 'Project Overview'!A117, "")</f>
        <v/>
      </c>
    </row>
    <row r="115" spans="1:1" ht="108" customHeight="1" x14ac:dyDescent="0.25">
      <c r="A115" s="37" t="str">
        <f>IF(('Project Overview'!A118) &lt;&gt; 0, 'Project Overview'!A118, "")</f>
        <v/>
      </c>
    </row>
    <row r="116" spans="1:1" ht="108" customHeight="1" x14ac:dyDescent="0.25">
      <c r="A116" s="37" t="str">
        <f>IF(('Project Overview'!A119) &lt;&gt; 0, 'Project Overview'!A119, "")</f>
        <v/>
      </c>
    </row>
    <row r="117" spans="1:1" ht="108" customHeight="1" x14ac:dyDescent="0.25">
      <c r="A117" s="37" t="str">
        <f>IF(('Project Overview'!A120) &lt;&gt; 0, 'Project Overview'!A120, "")</f>
        <v/>
      </c>
    </row>
    <row r="118" spans="1:1" ht="108" customHeight="1" x14ac:dyDescent="0.25">
      <c r="A118" s="37" t="str">
        <f>IF(('Project Overview'!A121) &lt;&gt; 0, 'Project Overview'!A121, "")</f>
        <v/>
      </c>
    </row>
    <row r="119" spans="1:1" ht="108" customHeight="1" x14ac:dyDescent="0.25">
      <c r="A119" s="37" t="str">
        <f>IF(('Project Overview'!A122) &lt;&gt; 0, 'Project Overview'!A122, "")</f>
        <v/>
      </c>
    </row>
    <row r="120" spans="1:1" ht="108" customHeight="1" x14ac:dyDescent="0.25">
      <c r="A120" s="37" t="str">
        <f>IF(('Project Overview'!A123) &lt;&gt; 0, 'Project Overview'!A123, "")</f>
        <v/>
      </c>
    </row>
    <row r="121" spans="1:1" ht="108" customHeight="1" x14ac:dyDescent="0.25">
      <c r="A121" s="37" t="str">
        <f>IF(('Project Overview'!A124) &lt;&gt; 0, 'Project Overview'!A124, "")</f>
        <v/>
      </c>
    </row>
    <row r="122" spans="1:1" ht="108" customHeight="1" x14ac:dyDescent="0.25">
      <c r="A122" s="37" t="str">
        <f>IF(('Project Overview'!A125) &lt;&gt; 0, 'Project Overview'!A125, "")</f>
        <v/>
      </c>
    </row>
    <row r="123" spans="1:1" ht="108" customHeight="1" x14ac:dyDescent="0.25">
      <c r="A123" s="37" t="str">
        <f>IF(('Project Overview'!A126) &lt;&gt; 0, 'Project Overview'!A126, "")</f>
        <v/>
      </c>
    </row>
    <row r="124" spans="1:1" ht="108" customHeight="1" x14ac:dyDescent="0.25">
      <c r="A124" s="37" t="str">
        <f>IF(('Project Overview'!A127) &lt;&gt; 0, 'Project Overview'!A127, "")</f>
        <v/>
      </c>
    </row>
    <row r="125" spans="1:1" ht="108" customHeight="1" x14ac:dyDescent="0.25">
      <c r="A125" s="37" t="str">
        <f>IF(('Project Overview'!A128) &lt;&gt; 0, 'Project Overview'!A128, "")</f>
        <v/>
      </c>
    </row>
    <row r="126" spans="1:1" ht="108" customHeight="1" x14ac:dyDescent="0.25">
      <c r="A126" s="37" t="str">
        <f>IF(('Project Overview'!A129) &lt;&gt; 0, 'Project Overview'!A129, "")</f>
        <v/>
      </c>
    </row>
    <row r="127" spans="1:1" ht="108" customHeight="1" x14ac:dyDescent="0.25">
      <c r="A127" s="37" t="str">
        <f>IF(('Project Overview'!A130) &lt;&gt; 0, 'Project Overview'!A130, "")</f>
        <v/>
      </c>
    </row>
    <row r="128" spans="1:1" ht="108" customHeight="1" x14ac:dyDescent="0.25">
      <c r="A128" s="37" t="str">
        <f>IF(('Project Overview'!A131) &lt;&gt; 0, 'Project Overview'!A131, "")</f>
        <v/>
      </c>
    </row>
    <row r="129" spans="1:1" ht="108" customHeight="1" x14ac:dyDescent="0.25">
      <c r="A129" s="37" t="str">
        <f>IF(('Project Overview'!A132) &lt;&gt; 0, 'Project Overview'!A132, "")</f>
        <v/>
      </c>
    </row>
    <row r="130" spans="1:1" ht="108" customHeight="1" x14ac:dyDescent="0.25">
      <c r="A130" s="37" t="str">
        <f>IF(('Project Overview'!A133) &lt;&gt; 0, 'Project Overview'!A133, "")</f>
        <v/>
      </c>
    </row>
    <row r="131" spans="1:1" ht="108" customHeight="1" x14ac:dyDescent="0.25">
      <c r="A131" s="37" t="str">
        <f>IF(('Project Overview'!A134) &lt;&gt; 0, 'Project Overview'!A134, "")</f>
        <v/>
      </c>
    </row>
    <row r="132" spans="1:1" ht="108" customHeight="1" x14ac:dyDescent="0.25">
      <c r="A132" s="37" t="str">
        <f>IF(('Project Overview'!A135) &lt;&gt; 0, 'Project Overview'!A135, "")</f>
        <v/>
      </c>
    </row>
    <row r="133" spans="1:1" ht="108" customHeight="1" x14ac:dyDescent="0.25">
      <c r="A133" s="37" t="str">
        <f>IF(('Project Overview'!A136) &lt;&gt; 0, 'Project Overview'!A136, "")</f>
        <v/>
      </c>
    </row>
    <row r="134" spans="1:1" ht="108" customHeight="1" x14ac:dyDescent="0.25">
      <c r="A134" s="37" t="str">
        <f>IF(('Project Overview'!A137) &lt;&gt; 0, 'Project Overview'!A137, "")</f>
        <v/>
      </c>
    </row>
    <row r="135" spans="1:1" ht="108" customHeight="1" x14ac:dyDescent="0.25">
      <c r="A135" s="37" t="str">
        <f>IF(('Project Overview'!A138) &lt;&gt; 0, 'Project Overview'!A138, "")</f>
        <v/>
      </c>
    </row>
    <row r="136" spans="1:1" ht="108" customHeight="1" x14ac:dyDescent="0.25">
      <c r="A136" s="37" t="str">
        <f>IF(('Project Overview'!A139) &lt;&gt; 0, 'Project Overview'!A139, "")</f>
        <v/>
      </c>
    </row>
    <row r="137" spans="1:1" ht="108" customHeight="1" x14ac:dyDescent="0.25">
      <c r="A137" s="37" t="str">
        <f>IF(('Project Overview'!A140) &lt;&gt; 0, 'Project Overview'!A140, "")</f>
        <v/>
      </c>
    </row>
    <row r="138" spans="1:1" ht="108" customHeight="1" x14ac:dyDescent="0.25">
      <c r="A138" s="37" t="str">
        <f>IF(('Project Overview'!A141) &lt;&gt; 0, 'Project Overview'!A141, "")</f>
        <v/>
      </c>
    </row>
    <row r="139" spans="1:1" ht="108" customHeight="1" x14ac:dyDescent="0.25">
      <c r="A139" s="37" t="str">
        <f>IF(('Project Overview'!A142) &lt;&gt; 0, 'Project Overview'!A142, "")</f>
        <v/>
      </c>
    </row>
    <row r="140" spans="1:1" ht="108" customHeight="1" x14ac:dyDescent="0.25">
      <c r="A140" s="37" t="str">
        <f>IF(('Project Overview'!A143) &lt;&gt; 0, 'Project Overview'!A143, "")</f>
        <v/>
      </c>
    </row>
    <row r="141" spans="1:1" ht="108" customHeight="1" x14ac:dyDescent="0.25">
      <c r="A141" s="37" t="str">
        <f>IF(('Project Overview'!A144) &lt;&gt; 0, 'Project Overview'!A144, "")</f>
        <v/>
      </c>
    </row>
    <row r="142" spans="1:1" ht="108" customHeight="1" x14ac:dyDescent="0.25">
      <c r="A142" s="37" t="str">
        <f>IF(('Project Overview'!A145) &lt;&gt; 0, 'Project Overview'!A145, "")</f>
        <v/>
      </c>
    </row>
    <row r="143" spans="1:1" ht="108" customHeight="1" x14ac:dyDescent="0.25">
      <c r="A143" s="37" t="str">
        <f>IF(('Project Overview'!A146) &lt;&gt; 0, 'Project Overview'!A146, "")</f>
        <v/>
      </c>
    </row>
    <row r="144" spans="1:1" ht="108" customHeight="1" x14ac:dyDescent="0.25">
      <c r="A144" s="37" t="str">
        <f>IF(('Project Overview'!A147) &lt;&gt; 0, 'Project Overview'!A147, "")</f>
        <v/>
      </c>
    </row>
    <row r="145" spans="1:1" ht="108" customHeight="1" x14ac:dyDescent="0.25">
      <c r="A145" s="37" t="str">
        <f>IF(('Project Overview'!A148) &lt;&gt; 0, 'Project Overview'!A148, "")</f>
        <v/>
      </c>
    </row>
    <row r="146" spans="1:1" ht="108" customHeight="1" x14ac:dyDescent="0.25">
      <c r="A146" s="37" t="str">
        <f>IF(('Project Overview'!A149) &lt;&gt; 0, 'Project Overview'!A149, "")</f>
        <v/>
      </c>
    </row>
    <row r="147" spans="1:1" ht="108" customHeight="1" x14ac:dyDescent="0.25">
      <c r="A147" s="37" t="str">
        <f>IF(('Project Overview'!A150) &lt;&gt; 0, 'Project Overview'!A150, "")</f>
        <v/>
      </c>
    </row>
    <row r="148" spans="1:1" ht="108" customHeight="1" x14ac:dyDescent="0.25">
      <c r="A148" s="37" t="str">
        <f>IF(('Project Overview'!A151) &lt;&gt; 0, 'Project Overview'!A151, "")</f>
        <v/>
      </c>
    </row>
    <row r="149" spans="1:1" ht="108" customHeight="1" x14ac:dyDescent="0.25">
      <c r="A149" s="37" t="str">
        <f>IF(('Project Overview'!A152) &lt;&gt; 0, 'Project Overview'!A152, "")</f>
        <v/>
      </c>
    </row>
    <row r="150" spans="1:1" ht="108" customHeight="1" x14ac:dyDescent="0.25">
      <c r="A150" s="37" t="str">
        <f>IF(('Project Overview'!A153) &lt;&gt; 0, 'Project Overview'!A153, "")</f>
        <v/>
      </c>
    </row>
    <row r="151" spans="1:1" ht="108" customHeight="1" x14ac:dyDescent="0.25">
      <c r="A151" s="37" t="str">
        <f>IF(('Project Overview'!A154) &lt;&gt; 0, 'Project Overview'!A154, "")</f>
        <v/>
      </c>
    </row>
    <row r="152" spans="1:1" ht="108" customHeight="1" x14ac:dyDescent="0.25">
      <c r="A152" s="37" t="str">
        <f>IF(('Project Overview'!A155) &lt;&gt; 0, 'Project Overview'!A155, "")</f>
        <v/>
      </c>
    </row>
    <row r="153" spans="1:1" ht="108" customHeight="1" x14ac:dyDescent="0.25">
      <c r="A153" s="37" t="str">
        <f>IF(('Project Overview'!A156) &lt;&gt; 0, 'Project Overview'!A156, "")</f>
        <v/>
      </c>
    </row>
    <row r="154" spans="1:1" ht="108" customHeight="1" x14ac:dyDescent="0.25">
      <c r="A154" s="37" t="str">
        <f>IF(('Project Overview'!A157) &lt;&gt; 0, 'Project Overview'!A157, "")</f>
        <v/>
      </c>
    </row>
    <row r="155" spans="1:1" ht="108" customHeight="1" x14ac:dyDescent="0.25">
      <c r="A155" s="37" t="str">
        <f>IF(('Project Overview'!A158) &lt;&gt; 0, 'Project Overview'!A158, "")</f>
        <v/>
      </c>
    </row>
    <row r="156" spans="1:1" ht="108" customHeight="1" x14ac:dyDescent="0.25">
      <c r="A156" s="37" t="str">
        <f>IF(('Project Overview'!A159) &lt;&gt; 0, 'Project Overview'!A159, "")</f>
        <v/>
      </c>
    </row>
    <row r="157" spans="1:1" ht="108" customHeight="1" x14ac:dyDescent="0.25">
      <c r="A157" s="37" t="str">
        <f>IF(('Project Overview'!A160) &lt;&gt; 0, 'Project Overview'!A160, "")</f>
        <v/>
      </c>
    </row>
    <row r="158" spans="1:1" ht="108" customHeight="1" x14ac:dyDescent="0.25">
      <c r="A158" s="37" t="str">
        <f>IF(('Project Overview'!A161) &lt;&gt; 0, 'Project Overview'!A161, "")</f>
        <v/>
      </c>
    </row>
    <row r="159" spans="1:1" ht="108" customHeight="1" x14ac:dyDescent="0.25">
      <c r="A159" s="37" t="str">
        <f>IF(('Project Overview'!A162) &lt;&gt; 0, 'Project Overview'!A162, "")</f>
        <v/>
      </c>
    </row>
    <row r="160" spans="1:1" ht="108" customHeight="1" x14ac:dyDescent="0.25">
      <c r="A160" s="37" t="str">
        <f>IF(('Project Overview'!A163) &lt;&gt; 0, 'Project Overview'!A163, "")</f>
        <v/>
      </c>
    </row>
    <row r="161" spans="1:1" ht="108" customHeight="1" x14ac:dyDescent="0.25">
      <c r="A161" s="37" t="str">
        <f>IF(('Project Overview'!A164) &lt;&gt; 0, 'Project Overview'!A164, "")</f>
        <v/>
      </c>
    </row>
    <row r="162" spans="1:1" ht="108" customHeight="1" x14ac:dyDescent="0.25">
      <c r="A162" s="37" t="str">
        <f>IF(('Project Overview'!A165) &lt;&gt; 0, 'Project Overview'!A165, "")</f>
        <v/>
      </c>
    </row>
    <row r="163" spans="1:1" ht="108" customHeight="1" x14ac:dyDescent="0.25">
      <c r="A163" s="37" t="str">
        <f>IF(('Project Overview'!A166) &lt;&gt; 0, 'Project Overview'!A166, "")</f>
        <v/>
      </c>
    </row>
    <row r="164" spans="1:1" ht="108" customHeight="1" x14ac:dyDescent="0.25">
      <c r="A164" s="37" t="str">
        <f>IF(('Project Overview'!A167) &lt;&gt; 0, 'Project Overview'!A167, "")</f>
        <v/>
      </c>
    </row>
    <row r="165" spans="1:1" ht="108" customHeight="1" x14ac:dyDescent="0.25">
      <c r="A165" s="37" t="str">
        <f>IF(('Project Overview'!A168) &lt;&gt; 0, 'Project Overview'!A168, "")</f>
        <v/>
      </c>
    </row>
    <row r="166" spans="1:1" ht="108" customHeight="1" x14ac:dyDescent="0.25">
      <c r="A166" s="37" t="str">
        <f>IF(('Project Overview'!A169) &lt;&gt; 0, 'Project Overview'!A169, "")</f>
        <v/>
      </c>
    </row>
    <row r="167" spans="1:1" ht="108" customHeight="1" x14ac:dyDescent="0.25">
      <c r="A167" s="37" t="str">
        <f>IF(('Project Overview'!A170) &lt;&gt; 0, 'Project Overview'!A170, "")</f>
        <v/>
      </c>
    </row>
    <row r="168" spans="1:1" ht="108" customHeight="1" x14ac:dyDescent="0.25">
      <c r="A168" s="37" t="str">
        <f>IF(('Project Overview'!A171) &lt;&gt; 0, 'Project Overview'!A171, "")</f>
        <v/>
      </c>
    </row>
    <row r="169" spans="1:1" ht="108" customHeight="1" x14ac:dyDescent="0.25">
      <c r="A169" s="37" t="str">
        <f>IF(('Project Overview'!A172) &lt;&gt; 0, 'Project Overview'!A172, "")</f>
        <v/>
      </c>
    </row>
    <row r="170" spans="1:1" ht="108" customHeight="1" x14ac:dyDescent="0.25">
      <c r="A170" s="37" t="str">
        <f>IF(('Project Overview'!A173) &lt;&gt; 0, 'Project Overview'!A173, "")</f>
        <v/>
      </c>
    </row>
    <row r="171" spans="1:1" ht="108" customHeight="1" x14ac:dyDescent="0.25">
      <c r="A171" s="37" t="str">
        <f>IF(('Project Overview'!A174) &lt;&gt; 0, 'Project Overview'!A174, "")</f>
        <v/>
      </c>
    </row>
    <row r="172" spans="1:1" ht="108" customHeight="1" x14ac:dyDescent="0.25">
      <c r="A172" s="37" t="str">
        <f>IF(('Project Overview'!A175) &lt;&gt; 0, 'Project Overview'!A175, "")</f>
        <v/>
      </c>
    </row>
    <row r="173" spans="1:1" ht="108" customHeight="1" x14ac:dyDescent="0.25">
      <c r="A173" s="37" t="str">
        <f>IF(('Project Overview'!A176) &lt;&gt; 0, 'Project Overview'!A176, "")</f>
        <v/>
      </c>
    </row>
    <row r="174" spans="1:1" ht="108" customHeight="1" x14ac:dyDescent="0.25">
      <c r="A174" s="37" t="str">
        <f>IF(('Project Overview'!A177) &lt;&gt; 0, 'Project Overview'!A177, "")</f>
        <v/>
      </c>
    </row>
    <row r="175" spans="1:1" ht="108" customHeight="1" x14ac:dyDescent="0.25">
      <c r="A175" s="37" t="str">
        <f>IF(('Project Overview'!A178) &lt;&gt; 0, 'Project Overview'!A178, "")</f>
        <v/>
      </c>
    </row>
    <row r="176" spans="1:1" ht="108" customHeight="1" x14ac:dyDescent="0.25">
      <c r="A176" s="37" t="str">
        <f>IF(('Project Overview'!A179) &lt;&gt; 0, 'Project Overview'!A179, "")</f>
        <v/>
      </c>
    </row>
    <row r="177" spans="1:1" ht="108" customHeight="1" x14ac:dyDescent="0.25">
      <c r="A177" s="37" t="str">
        <f>IF(('Project Overview'!A180) &lt;&gt; 0, 'Project Overview'!A180, "")</f>
        <v/>
      </c>
    </row>
    <row r="178" spans="1:1" ht="108" customHeight="1" x14ac:dyDescent="0.25">
      <c r="A178" s="37" t="str">
        <f>IF(('Project Overview'!A181) &lt;&gt; 0, 'Project Overview'!A181, "")</f>
        <v/>
      </c>
    </row>
    <row r="179" spans="1:1" ht="108" customHeight="1" x14ac:dyDescent="0.25">
      <c r="A179" s="37" t="str">
        <f>IF(('Project Overview'!A182) &lt;&gt; 0, 'Project Overview'!A182, "")</f>
        <v/>
      </c>
    </row>
    <row r="180" spans="1:1" ht="108" customHeight="1" x14ac:dyDescent="0.25">
      <c r="A180" s="37" t="str">
        <f>IF(('Project Overview'!A183) &lt;&gt; 0, 'Project Overview'!A183, "")</f>
        <v/>
      </c>
    </row>
    <row r="181" spans="1:1" ht="108" customHeight="1" x14ac:dyDescent="0.25">
      <c r="A181" s="37" t="str">
        <f>IF(('Project Overview'!A184) &lt;&gt; 0, 'Project Overview'!A184, "")</f>
        <v/>
      </c>
    </row>
    <row r="182" spans="1:1" ht="108" customHeight="1" x14ac:dyDescent="0.25">
      <c r="A182" s="37" t="str">
        <f>IF(('Project Overview'!A185) &lt;&gt; 0, 'Project Overview'!A185, "")</f>
        <v/>
      </c>
    </row>
    <row r="183" spans="1:1" ht="108" customHeight="1" x14ac:dyDescent="0.25">
      <c r="A183" s="37" t="str">
        <f>IF(('Project Overview'!A186) &lt;&gt; 0, 'Project Overview'!A186, "")</f>
        <v/>
      </c>
    </row>
    <row r="184" spans="1:1" ht="108" customHeight="1" x14ac:dyDescent="0.25">
      <c r="A184" s="37" t="str">
        <f>IF(('Project Overview'!A187) &lt;&gt; 0, 'Project Overview'!A187, "")</f>
        <v/>
      </c>
    </row>
    <row r="185" spans="1:1" ht="108" customHeight="1" x14ac:dyDescent="0.25">
      <c r="A185" s="37" t="str">
        <f>IF(('Project Overview'!A188) &lt;&gt; 0, 'Project Overview'!A188, "")</f>
        <v/>
      </c>
    </row>
    <row r="186" spans="1:1" ht="108" customHeight="1" x14ac:dyDescent="0.25">
      <c r="A186" s="37" t="str">
        <f>IF(('Project Overview'!A189) &lt;&gt; 0, 'Project Overview'!A189, "")</f>
        <v/>
      </c>
    </row>
    <row r="187" spans="1:1" ht="108" customHeight="1" x14ac:dyDescent="0.25">
      <c r="A187" s="37" t="str">
        <f>IF(('Project Overview'!A190) &lt;&gt; 0, 'Project Overview'!A190, "")</f>
        <v/>
      </c>
    </row>
    <row r="188" spans="1:1" ht="108" customHeight="1" x14ac:dyDescent="0.25">
      <c r="A188" s="37" t="str">
        <f>IF(('Project Overview'!A191) &lt;&gt; 0, 'Project Overview'!A191, "")</f>
        <v/>
      </c>
    </row>
    <row r="189" spans="1:1" ht="108" customHeight="1" x14ac:dyDescent="0.25">
      <c r="A189" s="37" t="str">
        <f>IF(('Project Overview'!A192) &lt;&gt; 0, 'Project Overview'!A192, "")</f>
        <v/>
      </c>
    </row>
    <row r="190" spans="1:1" ht="108" customHeight="1" x14ac:dyDescent="0.25">
      <c r="A190" s="37" t="str">
        <f>IF(('Project Overview'!A193) &lt;&gt; 0, 'Project Overview'!A193, "")</f>
        <v/>
      </c>
    </row>
    <row r="191" spans="1:1" ht="108" customHeight="1" x14ac:dyDescent="0.25">
      <c r="A191" s="37" t="str">
        <f>IF(('Project Overview'!A194) &lt;&gt; 0, 'Project Overview'!A194, "")</f>
        <v/>
      </c>
    </row>
    <row r="192" spans="1:1" ht="108" customHeight="1" x14ac:dyDescent="0.25">
      <c r="A192" s="37" t="str">
        <f>IF(('Project Overview'!A195) &lt;&gt; 0, 'Project Overview'!A195, "")</f>
        <v/>
      </c>
    </row>
    <row r="193" spans="1:1" ht="108" customHeight="1" x14ac:dyDescent="0.25">
      <c r="A193" s="37" t="str">
        <f>IF(('Project Overview'!A196) &lt;&gt; 0, 'Project Overview'!A196, "")</f>
        <v/>
      </c>
    </row>
    <row r="194" spans="1:1" ht="108" customHeight="1" x14ac:dyDescent="0.25">
      <c r="A194" s="37" t="str">
        <f>IF(('Project Overview'!A197) &lt;&gt; 0, 'Project Overview'!A197, "")</f>
        <v/>
      </c>
    </row>
    <row r="195" spans="1:1" ht="108" customHeight="1" x14ac:dyDescent="0.25">
      <c r="A195" s="37" t="str">
        <f>IF(('Project Overview'!A198) &lt;&gt; 0, 'Project Overview'!A198, "")</f>
        <v/>
      </c>
    </row>
    <row r="196" spans="1:1" ht="108" customHeight="1" x14ac:dyDescent="0.25">
      <c r="A196" s="37" t="str">
        <f>IF(('Project Overview'!A199) &lt;&gt; 0, 'Project Overview'!A199, "")</f>
        <v/>
      </c>
    </row>
    <row r="197" spans="1:1" ht="108" customHeight="1" x14ac:dyDescent="0.25">
      <c r="A197" s="37" t="str">
        <f>IF(('Project Overview'!A200) &lt;&gt; 0, 'Project Overview'!A200, "")</f>
        <v/>
      </c>
    </row>
    <row r="198" spans="1:1" ht="108" customHeight="1" x14ac:dyDescent="0.25">
      <c r="A198" s="37" t="str">
        <f>IF(('Project Overview'!A201) &lt;&gt; 0, 'Project Overview'!A201, "")</f>
        <v/>
      </c>
    </row>
    <row r="199" spans="1:1" ht="108" customHeight="1" x14ac:dyDescent="0.25">
      <c r="A199" s="37" t="str">
        <f>IF(('Project Overview'!A202) &lt;&gt; 0, 'Project Overview'!A202, "")</f>
        <v/>
      </c>
    </row>
    <row r="200" spans="1:1" ht="108" customHeight="1" x14ac:dyDescent="0.25">
      <c r="A200" s="37" t="str">
        <f>IF(('Project Overview'!A203) &lt;&gt; 0, 'Project Overview'!A203, "")</f>
        <v/>
      </c>
    </row>
    <row r="201" spans="1:1" ht="108" customHeight="1" x14ac:dyDescent="0.25">
      <c r="A201" s="37" t="str">
        <f>IF(('Project Overview'!A204) &lt;&gt; 0, 'Project Overview'!A204, "")</f>
        <v/>
      </c>
    </row>
    <row r="202" spans="1:1" ht="108" customHeight="1" x14ac:dyDescent="0.25">
      <c r="A202" s="37" t="str">
        <f>IF(('Project Overview'!A205) &lt;&gt; 0, 'Project Overview'!A205, "")</f>
        <v/>
      </c>
    </row>
    <row r="203" spans="1:1" ht="108" customHeight="1" x14ac:dyDescent="0.25">
      <c r="A203" s="37" t="str">
        <f>IF(('Project Overview'!A206) &lt;&gt; 0, 'Project Overview'!A206, "")</f>
        <v/>
      </c>
    </row>
    <row r="204" spans="1:1" ht="108" customHeight="1" x14ac:dyDescent="0.25">
      <c r="A204" s="37" t="str">
        <f>IF(('Project Overview'!A207) &lt;&gt; 0, 'Project Overview'!A207, "")</f>
        <v/>
      </c>
    </row>
    <row r="205" spans="1:1" ht="108" customHeight="1" x14ac:dyDescent="0.25">
      <c r="A205" s="37" t="str">
        <f>IF(('Project Overview'!A208) &lt;&gt; 0, 'Project Overview'!A208, "")</f>
        <v/>
      </c>
    </row>
    <row r="206" spans="1:1" ht="108" customHeight="1" x14ac:dyDescent="0.25">
      <c r="A206" s="37" t="str">
        <f>IF(('Project Overview'!A209) &lt;&gt; 0, 'Project Overview'!A209, "")</f>
        <v/>
      </c>
    </row>
    <row r="207" spans="1:1" ht="108" customHeight="1" x14ac:dyDescent="0.25">
      <c r="A207" s="37" t="str">
        <f>IF(('Project Overview'!A210) &lt;&gt; 0, 'Project Overview'!A210, "")</f>
        <v/>
      </c>
    </row>
    <row r="208" spans="1:1" ht="108" customHeight="1" x14ac:dyDescent="0.25">
      <c r="A208" s="37" t="str">
        <f>IF(('Project Overview'!A211) &lt;&gt; 0, 'Project Overview'!A211, "")</f>
        <v/>
      </c>
    </row>
    <row r="209" spans="1:1" ht="108" customHeight="1" x14ac:dyDescent="0.25">
      <c r="A209" s="37" t="str">
        <f>IF(('Project Overview'!A212) &lt;&gt; 0, 'Project Overview'!A212, "")</f>
        <v/>
      </c>
    </row>
    <row r="210" spans="1:1" ht="108" customHeight="1" x14ac:dyDescent="0.25">
      <c r="A210" s="37" t="str">
        <f>IF(('Project Overview'!A213) &lt;&gt; 0, 'Project Overview'!A213, "")</f>
        <v/>
      </c>
    </row>
    <row r="211" spans="1:1" ht="108" customHeight="1" x14ac:dyDescent="0.25">
      <c r="A211" s="37" t="str">
        <f>IF(('Project Overview'!A214) &lt;&gt; 0, 'Project Overview'!A214, "")</f>
        <v/>
      </c>
    </row>
    <row r="212" spans="1:1" ht="108" customHeight="1" x14ac:dyDescent="0.25">
      <c r="A212" s="37" t="str">
        <f>IF(('Project Overview'!A215) &lt;&gt; 0, 'Project Overview'!A215, "")</f>
        <v/>
      </c>
    </row>
    <row r="213" spans="1:1" ht="108" customHeight="1" x14ac:dyDescent="0.25">
      <c r="A213" s="37" t="str">
        <f>IF(('Project Overview'!A216) &lt;&gt; 0, 'Project Overview'!A216, "")</f>
        <v/>
      </c>
    </row>
    <row r="214" spans="1:1" ht="108" customHeight="1" x14ac:dyDescent="0.25">
      <c r="A214" s="37" t="str">
        <f>IF(('Project Overview'!A217) &lt;&gt; 0, 'Project Overview'!A217, "")</f>
        <v/>
      </c>
    </row>
    <row r="215" spans="1:1" ht="108" customHeight="1" x14ac:dyDescent="0.25">
      <c r="A215" s="37" t="str">
        <f>IF(('Project Overview'!A218) &lt;&gt; 0, 'Project Overview'!A218, "")</f>
        <v/>
      </c>
    </row>
    <row r="216" spans="1:1" ht="108" customHeight="1" x14ac:dyDescent="0.25">
      <c r="A216" s="37" t="str">
        <f>IF(('Project Overview'!A219) &lt;&gt; 0, 'Project Overview'!A219, "")</f>
        <v/>
      </c>
    </row>
    <row r="217" spans="1:1" ht="108" customHeight="1" x14ac:dyDescent="0.25">
      <c r="A217" s="37" t="str">
        <f>IF(('Project Overview'!A220) &lt;&gt; 0, 'Project Overview'!A220, "")</f>
        <v/>
      </c>
    </row>
    <row r="218" spans="1:1" ht="108" customHeight="1" x14ac:dyDescent="0.25">
      <c r="A218" s="37" t="str">
        <f>IF(('Project Overview'!A221) &lt;&gt; 0, 'Project Overview'!A221, "")</f>
        <v/>
      </c>
    </row>
    <row r="219" spans="1:1" ht="108" customHeight="1" x14ac:dyDescent="0.25">
      <c r="A219" s="37" t="str">
        <f>IF(('Project Overview'!A222) &lt;&gt; 0, 'Project Overview'!A222, "")</f>
        <v/>
      </c>
    </row>
    <row r="220" spans="1:1" ht="108" customHeight="1" x14ac:dyDescent="0.25">
      <c r="A220" s="37" t="str">
        <f>IF(('Project Overview'!A223) &lt;&gt; 0, 'Project Overview'!A223, "")</f>
        <v/>
      </c>
    </row>
    <row r="221" spans="1:1" ht="108" customHeight="1" x14ac:dyDescent="0.25">
      <c r="A221" s="37" t="str">
        <f>IF(('Project Overview'!A224) &lt;&gt; 0, 'Project Overview'!A224, "")</f>
        <v/>
      </c>
    </row>
    <row r="222" spans="1:1" ht="108" customHeight="1" x14ac:dyDescent="0.25">
      <c r="A222" s="37" t="str">
        <f>IF(('Project Overview'!A225) &lt;&gt; 0, 'Project Overview'!A225, "")</f>
        <v/>
      </c>
    </row>
    <row r="223" spans="1:1" ht="108" customHeight="1" x14ac:dyDescent="0.25">
      <c r="A223" s="37" t="str">
        <f>IF(('Project Overview'!A226) &lt;&gt; 0, 'Project Overview'!A226, "")</f>
        <v/>
      </c>
    </row>
    <row r="224" spans="1:1" ht="108" customHeight="1" x14ac:dyDescent="0.25">
      <c r="A224" s="37" t="str">
        <f>IF(('Project Overview'!A227) &lt;&gt; 0, 'Project Overview'!A227, "")</f>
        <v/>
      </c>
    </row>
    <row r="225" spans="1:1" ht="108" customHeight="1" x14ac:dyDescent="0.25">
      <c r="A225" s="37" t="str">
        <f>IF(('Project Overview'!A228) &lt;&gt; 0, 'Project Overview'!A228, "")</f>
        <v/>
      </c>
    </row>
    <row r="226" spans="1:1" ht="108" customHeight="1" x14ac:dyDescent="0.25">
      <c r="A226" s="37" t="str">
        <f>IF(('Project Overview'!A229) &lt;&gt; 0, 'Project Overview'!A229, "")</f>
        <v/>
      </c>
    </row>
    <row r="227" spans="1:1" ht="108" customHeight="1" x14ac:dyDescent="0.25">
      <c r="A227" s="37" t="str">
        <f>IF(('Project Overview'!A230) &lt;&gt; 0, 'Project Overview'!A230, "")</f>
        <v/>
      </c>
    </row>
    <row r="228" spans="1:1" ht="108" customHeight="1" x14ac:dyDescent="0.25">
      <c r="A228" s="37" t="str">
        <f>IF(('Project Overview'!A231) &lt;&gt; 0, 'Project Overview'!A231, "")</f>
        <v/>
      </c>
    </row>
    <row r="229" spans="1:1" ht="108" customHeight="1" x14ac:dyDescent="0.25">
      <c r="A229" s="37" t="str">
        <f>IF(('Project Overview'!A232) &lt;&gt; 0, 'Project Overview'!A232, "")</f>
        <v/>
      </c>
    </row>
    <row r="230" spans="1:1" ht="108" customHeight="1" x14ac:dyDescent="0.25">
      <c r="A230" s="37" t="str">
        <f>IF(('Project Overview'!A233) &lt;&gt; 0, 'Project Overview'!A233, "")</f>
        <v/>
      </c>
    </row>
    <row r="231" spans="1:1" ht="108" customHeight="1" x14ac:dyDescent="0.25">
      <c r="A231" s="37" t="str">
        <f>IF(('Project Overview'!A234) &lt;&gt; 0, 'Project Overview'!A234, "")</f>
        <v/>
      </c>
    </row>
    <row r="232" spans="1:1" ht="108" customHeight="1" x14ac:dyDescent="0.25">
      <c r="A232" s="37" t="str">
        <f>IF(('Project Overview'!A235) &lt;&gt; 0, 'Project Overview'!A235, "")</f>
        <v/>
      </c>
    </row>
    <row r="233" spans="1:1" ht="108" customHeight="1" x14ac:dyDescent="0.25"/>
    <row r="234" spans="1:1" ht="108" customHeight="1" x14ac:dyDescent="0.25"/>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105BA-2E1D-489D-A145-386ABB55316C}">
  <sheetPr>
    <tabColor rgb="FFFF0000"/>
  </sheetPr>
  <dimension ref="A1:U397"/>
  <sheetViews>
    <sheetView workbookViewId="0">
      <selection activeCell="C33" sqref="C33"/>
    </sheetView>
  </sheetViews>
  <sheetFormatPr defaultColWidth="9.140625" defaultRowHeight="15" x14ac:dyDescent="0.25"/>
  <cols>
    <col min="1" max="1" width="17.42578125" style="183" customWidth="1"/>
    <col min="2" max="2" width="25.140625" style="213" customWidth="1"/>
    <col min="3" max="3" width="68" style="207" customWidth="1"/>
    <col min="4" max="4" width="36.85546875" style="184" customWidth="1"/>
    <col min="5" max="5" width="37.7109375" style="184" customWidth="1"/>
    <col min="6" max="6" width="33.42578125" style="243" customWidth="1"/>
    <col min="7" max="16384" width="9.140625" style="190"/>
  </cols>
  <sheetData>
    <row r="1" spans="1:21" s="199" customFormat="1" ht="45" customHeight="1" thickBot="1" x14ac:dyDescent="0.3">
      <c r="A1" s="193" t="s">
        <v>364</v>
      </c>
      <c r="B1" s="194" t="s">
        <v>159</v>
      </c>
      <c r="C1" s="221" t="s">
        <v>365</v>
      </c>
      <c r="D1" s="223" t="s">
        <v>366</v>
      </c>
      <c r="E1" s="289" t="s">
        <v>367</v>
      </c>
      <c r="F1" s="290" t="s">
        <v>368</v>
      </c>
    </row>
    <row r="2" spans="1:21" s="206" customFormat="1" x14ac:dyDescent="0.25">
      <c r="A2" s="288" t="str">
        <f>IF(('Project Overview'!A3) &lt;&gt; 0, 'Project Overview'!A3, "")</f>
        <v>2014IL292S</v>
      </c>
      <c r="B2" s="200"/>
      <c r="C2" s="291">
        <v>0</v>
      </c>
      <c r="D2" s="292"/>
      <c r="E2" s="247"/>
      <c r="F2" s="293"/>
      <c r="G2" s="205"/>
      <c r="H2" s="205"/>
      <c r="I2" s="205"/>
      <c r="J2" s="205"/>
      <c r="K2" s="205"/>
      <c r="L2" s="205"/>
      <c r="M2" s="205"/>
      <c r="N2" s="205"/>
      <c r="O2" s="205"/>
      <c r="P2" s="205"/>
      <c r="Q2" s="205"/>
      <c r="R2" s="205"/>
      <c r="S2" s="205"/>
      <c r="T2" s="205"/>
      <c r="U2" s="205"/>
    </row>
    <row r="3" spans="1:21" s="189" customFormat="1" x14ac:dyDescent="0.25">
      <c r="A3" s="288" t="str">
        <f>IF(('Project Overview'!A4) &lt;&gt; 0, 'Project Overview'!A4, "")</f>
        <v>2015IL298G</v>
      </c>
      <c r="B3" s="200"/>
      <c r="C3" s="291">
        <v>0</v>
      </c>
      <c r="D3" s="247"/>
      <c r="E3" s="247"/>
      <c r="F3" s="294"/>
      <c r="G3" s="248"/>
      <c r="H3" s="248"/>
      <c r="I3" s="248"/>
      <c r="J3" s="248"/>
      <c r="K3" s="248"/>
      <c r="L3" s="248"/>
      <c r="M3" s="248"/>
      <c r="N3" s="248"/>
      <c r="O3" s="248"/>
      <c r="P3" s="248"/>
      <c r="Q3" s="248"/>
      <c r="R3" s="248"/>
      <c r="S3" s="248"/>
      <c r="T3" s="248"/>
      <c r="U3" s="248"/>
    </row>
    <row r="4" spans="1:21" x14ac:dyDescent="0.25">
      <c r="A4" s="288" t="str">
        <f>IF(('Project Overview'!A5) &lt;&gt; 0, 'Project Overview'!A5, "")</f>
        <v>2016IL311B</v>
      </c>
      <c r="B4" s="200"/>
      <c r="C4" s="291">
        <v>0</v>
      </c>
      <c r="D4" s="202"/>
      <c r="E4" s="202"/>
      <c r="F4" s="204"/>
      <c r="G4" s="210"/>
      <c r="H4" s="210"/>
      <c r="I4" s="210"/>
      <c r="J4" s="210"/>
      <c r="K4" s="210"/>
      <c r="L4" s="210"/>
      <c r="M4" s="210"/>
      <c r="N4" s="210"/>
      <c r="O4" s="210"/>
      <c r="P4" s="210"/>
      <c r="Q4" s="210"/>
      <c r="R4" s="210"/>
      <c r="S4" s="210"/>
      <c r="T4" s="210"/>
      <c r="U4" s="210"/>
    </row>
    <row r="5" spans="1:21" x14ac:dyDescent="0.25">
      <c r="A5" s="288" t="str">
        <f>IF(('Project Overview'!A6) &lt;&gt; 0, 'Project Overview'!A6, "")</f>
        <v>2016IL312B</v>
      </c>
      <c r="B5" s="200"/>
      <c r="C5" s="291">
        <v>0</v>
      </c>
      <c r="D5" s="202"/>
      <c r="E5" s="202"/>
      <c r="F5" s="204"/>
      <c r="G5" s="210"/>
      <c r="H5" s="210"/>
      <c r="I5" s="210"/>
      <c r="J5" s="210"/>
      <c r="K5" s="210"/>
      <c r="L5" s="210"/>
      <c r="M5" s="210"/>
      <c r="N5" s="210"/>
      <c r="O5" s="210"/>
      <c r="P5" s="210"/>
      <c r="Q5" s="210"/>
      <c r="R5" s="210"/>
      <c r="S5" s="210"/>
      <c r="T5" s="210"/>
      <c r="U5" s="210"/>
    </row>
    <row r="6" spans="1:21" x14ac:dyDescent="0.25">
      <c r="A6" s="288" t="str">
        <f>IF(('Project Overview'!A7) &lt;&gt; 0, 'Project Overview'!A7, "")</f>
        <v>2016IL313B</v>
      </c>
      <c r="B6" s="200"/>
      <c r="C6" s="291">
        <v>0</v>
      </c>
      <c r="D6" s="202"/>
      <c r="E6" s="202"/>
      <c r="F6" s="204"/>
      <c r="G6" s="210"/>
      <c r="H6" s="210"/>
      <c r="I6" s="210"/>
      <c r="J6" s="210"/>
      <c r="K6" s="210"/>
      <c r="L6" s="210"/>
      <c r="M6" s="210"/>
      <c r="N6" s="210"/>
      <c r="O6" s="210"/>
      <c r="P6" s="210"/>
      <c r="Q6" s="210"/>
      <c r="R6" s="210"/>
      <c r="S6" s="210"/>
      <c r="T6" s="210"/>
      <c r="U6" s="210"/>
    </row>
    <row r="7" spans="1:21" x14ac:dyDescent="0.25">
      <c r="A7" s="288" t="str">
        <f>IF(('Project Overview'!A8) &lt;&gt; 0, 'Project Overview'!A8, "")</f>
        <v>2016IL314B</v>
      </c>
      <c r="B7" s="200"/>
      <c r="C7" s="291">
        <v>0</v>
      </c>
      <c r="D7" s="202"/>
      <c r="E7" s="202"/>
      <c r="F7" s="204"/>
      <c r="G7" s="210"/>
      <c r="H7" s="210"/>
      <c r="I7" s="210"/>
      <c r="J7" s="210"/>
      <c r="K7" s="210"/>
      <c r="L7" s="210"/>
      <c r="M7" s="210"/>
      <c r="N7" s="210"/>
      <c r="O7" s="210"/>
      <c r="P7" s="210"/>
      <c r="Q7" s="210"/>
      <c r="R7" s="210"/>
      <c r="S7" s="210"/>
      <c r="T7" s="210"/>
      <c r="U7" s="210"/>
    </row>
    <row r="8" spans="1:21" x14ac:dyDescent="0.25">
      <c r="A8" s="288" t="str">
        <f>IF(('Project Overview'!A9) &lt;&gt; 0, 'Project Overview'!A9, "")</f>
        <v>2016IL315B</v>
      </c>
      <c r="B8" s="200"/>
      <c r="C8" s="291">
        <v>0</v>
      </c>
      <c r="D8" s="202"/>
      <c r="E8" s="202"/>
      <c r="F8" s="204"/>
      <c r="G8" s="210"/>
      <c r="H8" s="210"/>
      <c r="I8" s="210"/>
      <c r="J8" s="210"/>
      <c r="K8" s="210"/>
      <c r="L8" s="210"/>
      <c r="M8" s="210"/>
      <c r="N8" s="210"/>
      <c r="O8" s="210"/>
      <c r="P8" s="210"/>
      <c r="Q8" s="210"/>
      <c r="R8" s="210"/>
      <c r="S8" s="210"/>
      <c r="T8" s="210"/>
      <c r="U8" s="210"/>
    </row>
    <row r="9" spans="1:21" x14ac:dyDescent="0.25">
      <c r="A9" s="288" t="str">
        <f>IF(('Project Overview'!A10) &lt;&gt; 0, 'Project Overview'!A10, "")</f>
        <v>2017IL329B</v>
      </c>
      <c r="B9" s="200"/>
      <c r="C9" s="291">
        <v>0</v>
      </c>
      <c r="D9" s="202"/>
      <c r="E9" s="202"/>
      <c r="F9" s="204"/>
      <c r="G9" s="210"/>
      <c r="H9" s="210"/>
      <c r="I9" s="210"/>
      <c r="J9" s="210"/>
      <c r="K9" s="210"/>
      <c r="L9" s="210"/>
      <c r="M9" s="210"/>
      <c r="N9" s="210"/>
      <c r="O9" s="210"/>
      <c r="P9" s="210"/>
      <c r="Q9" s="210"/>
      <c r="R9" s="210"/>
      <c r="S9" s="210"/>
      <c r="T9" s="210"/>
      <c r="U9" s="210"/>
    </row>
    <row r="10" spans="1:21" x14ac:dyDescent="0.25">
      <c r="A10" s="288" t="str">
        <f>IF(('Project Overview'!A11) &lt;&gt; 0, 'Project Overview'!A11, "")</f>
        <v>2017IL330B</v>
      </c>
      <c r="B10" s="200"/>
      <c r="C10" s="291">
        <v>0</v>
      </c>
      <c r="D10" s="202"/>
      <c r="E10" s="202"/>
      <c r="F10" s="204"/>
      <c r="G10" s="210"/>
      <c r="H10" s="210"/>
      <c r="I10" s="210"/>
      <c r="J10" s="210"/>
      <c r="K10" s="210"/>
      <c r="L10" s="210"/>
      <c r="M10" s="210"/>
      <c r="N10" s="210"/>
      <c r="O10" s="210"/>
      <c r="P10" s="210"/>
      <c r="Q10" s="210"/>
      <c r="R10" s="210"/>
      <c r="S10" s="210"/>
      <c r="T10" s="210"/>
      <c r="U10" s="210"/>
    </row>
    <row r="11" spans="1:21" x14ac:dyDescent="0.25">
      <c r="A11" s="288" t="str">
        <f>IF(('Project Overview'!A12) &lt;&gt; 0, 'Project Overview'!A12, "")</f>
        <v>2017IL331B</v>
      </c>
      <c r="B11" s="200"/>
      <c r="C11" s="291">
        <v>0</v>
      </c>
      <c r="E11" s="202"/>
      <c r="F11" s="204"/>
      <c r="G11" s="210"/>
      <c r="H11" s="210"/>
      <c r="I11" s="210"/>
      <c r="J11" s="210"/>
      <c r="K11" s="210"/>
      <c r="L11" s="210"/>
      <c r="M11" s="210"/>
      <c r="N11" s="210"/>
      <c r="O11" s="210"/>
      <c r="P11" s="210"/>
      <c r="Q11" s="210"/>
      <c r="R11" s="210"/>
      <c r="S11" s="210"/>
      <c r="T11" s="210"/>
      <c r="U11" s="210"/>
    </row>
    <row r="12" spans="1:21" x14ac:dyDescent="0.25">
      <c r="A12" s="288" t="str">
        <f>IF(('Project Overview'!A13) &lt;&gt; 0, 'Project Overview'!A13, "")</f>
        <v>2017IL332B</v>
      </c>
      <c r="B12" s="200"/>
      <c r="C12" s="291">
        <v>0</v>
      </c>
      <c r="E12" s="202"/>
      <c r="F12" s="204"/>
      <c r="G12" s="210"/>
      <c r="H12" s="210"/>
      <c r="I12" s="210"/>
      <c r="J12" s="210"/>
      <c r="K12" s="210"/>
      <c r="L12" s="210"/>
      <c r="M12" s="210"/>
      <c r="N12" s="210"/>
      <c r="O12" s="210"/>
      <c r="P12" s="210"/>
      <c r="Q12" s="210"/>
      <c r="R12" s="210"/>
      <c r="S12" s="210"/>
      <c r="T12" s="210"/>
      <c r="U12" s="210"/>
    </row>
    <row r="13" spans="1:21" x14ac:dyDescent="0.25">
      <c r="A13" s="288" t="str">
        <f>IF(('Project Overview'!A14) &lt;&gt; 0, 'Project Overview'!A14, "")</f>
        <v>2017IL333B</v>
      </c>
      <c r="B13" s="200"/>
      <c r="C13" s="291">
        <v>0</v>
      </c>
      <c r="E13" s="202"/>
      <c r="F13" s="204"/>
      <c r="G13" s="210"/>
      <c r="H13" s="210"/>
      <c r="I13" s="210"/>
      <c r="J13" s="210"/>
      <c r="K13" s="210"/>
      <c r="L13" s="210"/>
      <c r="M13" s="210"/>
      <c r="N13" s="210"/>
      <c r="O13" s="210"/>
      <c r="P13" s="210"/>
      <c r="Q13" s="210"/>
      <c r="R13" s="210"/>
      <c r="S13" s="210"/>
      <c r="T13" s="210"/>
      <c r="U13" s="210"/>
    </row>
    <row r="14" spans="1:21" x14ac:dyDescent="0.25">
      <c r="A14" s="288" t="str">
        <f>IF(('Project Overview'!A15) &lt;&gt; 0, 'Project Overview'!A15, "")</f>
        <v>2017IL337S</v>
      </c>
      <c r="B14" s="200"/>
      <c r="C14" s="291">
        <v>0</v>
      </c>
      <c r="E14" s="202"/>
      <c r="F14" s="204"/>
      <c r="G14" s="210"/>
      <c r="H14" s="210"/>
      <c r="I14" s="210"/>
      <c r="J14" s="210"/>
      <c r="K14" s="210"/>
      <c r="L14" s="210"/>
      <c r="M14" s="210"/>
      <c r="N14" s="210"/>
      <c r="O14" s="210"/>
      <c r="P14" s="210"/>
      <c r="Q14" s="210"/>
      <c r="R14" s="210"/>
      <c r="S14" s="210"/>
      <c r="T14" s="210"/>
      <c r="U14" s="210"/>
    </row>
    <row r="15" spans="1:21" x14ac:dyDescent="0.25">
      <c r="A15" s="288" t="str">
        <f>IF(('Project Overview'!A16) &lt;&gt; 0, 'Project Overview'!A16, "")</f>
        <v>2017IL334B</v>
      </c>
      <c r="B15" s="200"/>
      <c r="C15" s="291">
        <v>0</v>
      </c>
      <c r="E15" s="202"/>
      <c r="F15" s="204"/>
      <c r="G15" s="210"/>
      <c r="H15" s="210"/>
      <c r="I15" s="210"/>
      <c r="J15" s="210"/>
      <c r="K15" s="210"/>
      <c r="L15" s="210"/>
      <c r="M15" s="210"/>
      <c r="N15" s="210"/>
      <c r="O15" s="210"/>
      <c r="P15" s="210"/>
      <c r="Q15" s="210"/>
      <c r="R15" s="210"/>
      <c r="S15" s="210"/>
      <c r="T15" s="210"/>
      <c r="U15" s="210"/>
    </row>
    <row r="16" spans="1:21" x14ac:dyDescent="0.25">
      <c r="A16" s="288" t="str">
        <f>IF(('Project Overview'!A17) &lt;&gt; 0, 'Project Overview'!A17, "")</f>
        <v>2018IL339B</v>
      </c>
      <c r="B16" s="200"/>
      <c r="C16" s="291">
        <v>0</v>
      </c>
      <c r="E16" s="202"/>
      <c r="F16" s="204"/>
      <c r="G16" s="210"/>
      <c r="H16" s="210"/>
      <c r="I16" s="210"/>
      <c r="J16" s="210"/>
      <c r="K16" s="210"/>
      <c r="L16" s="210"/>
      <c r="M16" s="210"/>
      <c r="N16" s="210"/>
      <c r="O16" s="210"/>
      <c r="P16" s="210"/>
      <c r="Q16" s="210"/>
      <c r="R16" s="210"/>
      <c r="S16" s="210"/>
      <c r="T16" s="210"/>
      <c r="U16" s="210"/>
    </row>
    <row r="17" spans="1:21" s="299" customFormat="1" x14ac:dyDescent="0.25">
      <c r="A17" s="288" t="str">
        <f>IF(('Project Overview'!A18) &lt;&gt; 0, 'Project Overview'!A18, "")</f>
        <v>2018IL340B</v>
      </c>
      <c r="B17" s="200"/>
      <c r="C17" s="291">
        <v>0</v>
      </c>
      <c r="D17" s="184"/>
      <c r="E17" s="296"/>
      <c r="F17" s="297"/>
      <c r="G17" s="298"/>
      <c r="H17" s="298"/>
      <c r="I17" s="298"/>
      <c r="J17" s="298"/>
      <c r="K17" s="298"/>
      <c r="L17" s="298"/>
      <c r="M17" s="298"/>
      <c r="N17" s="298"/>
      <c r="O17" s="298"/>
      <c r="P17" s="298"/>
      <c r="Q17" s="298"/>
      <c r="R17" s="298"/>
      <c r="S17" s="298"/>
      <c r="T17" s="298"/>
      <c r="U17" s="298"/>
    </row>
    <row r="18" spans="1:21" x14ac:dyDescent="0.25">
      <c r="A18" s="288" t="str">
        <f>IF(('Project Overview'!A19) &lt;&gt; 0, 'Project Overview'!A19, "")</f>
        <v>2018IL341B</v>
      </c>
      <c r="B18" s="200"/>
      <c r="C18" s="291">
        <v>0</v>
      </c>
      <c r="E18" s="202"/>
      <c r="F18" s="204"/>
      <c r="G18" s="210"/>
      <c r="H18" s="210"/>
      <c r="I18" s="210"/>
      <c r="J18" s="210"/>
      <c r="K18" s="210"/>
      <c r="L18" s="210"/>
      <c r="M18" s="210"/>
      <c r="N18" s="210"/>
      <c r="O18" s="210"/>
      <c r="P18" s="210"/>
      <c r="Q18" s="210"/>
      <c r="R18" s="210"/>
      <c r="S18" s="210"/>
      <c r="T18" s="210"/>
      <c r="U18" s="210"/>
    </row>
    <row r="19" spans="1:21" x14ac:dyDescent="0.25">
      <c r="A19" s="288" t="str">
        <f>IF(('Project Overview'!A20) &lt;&gt; 0, 'Project Overview'!A20, "")</f>
        <v>2018IL338B</v>
      </c>
      <c r="B19" s="200"/>
      <c r="C19" s="291">
        <v>0</v>
      </c>
      <c r="F19" s="209"/>
    </row>
    <row r="20" spans="1:21" x14ac:dyDescent="0.25">
      <c r="A20" s="288" t="str">
        <f>IF(('Project Overview'!A21) &lt;&gt; 0, 'Project Overview'!A21, "")</f>
        <v>2018IL342B-Sangamon</v>
      </c>
      <c r="B20" s="200"/>
      <c r="C20" s="291">
        <v>0</v>
      </c>
      <c r="F20" s="209"/>
    </row>
    <row r="21" spans="1:21" x14ac:dyDescent="0.25">
      <c r="A21" s="288" t="str">
        <f>IF(('Project Overview'!A22) &lt;&gt; 0, 'Project Overview'!A22, "")</f>
        <v>2018IL342B-TRTDTRT</v>
      </c>
      <c r="B21" s="200"/>
      <c r="C21" s="291">
        <v>0</v>
      </c>
      <c r="D21" s="202"/>
      <c r="E21" s="202"/>
      <c r="F21" s="204"/>
      <c r="G21" s="210"/>
      <c r="H21" s="210"/>
      <c r="I21" s="210"/>
      <c r="J21" s="210"/>
      <c r="K21" s="210"/>
      <c r="L21" s="210"/>
      <c r="M21" s="210"/>
      <c r="N21" s="210"/>
      <c r="O21" s="210"/>
      <c r="P21" s="210"/>
      <c r="Q21" s="210"/>
      <c r="R21" s="210"/>
      <c r="S21" s="210"/>
      <c r="T21" s="210"/>
      <c r="U21" s="210"/>
    </row>
    <row r="22" spans="1:21" x14ac:dyDescent="0.25">
      <c r="A22" s="288" t="str">
        <f>IF(('Project Overview'!A23) &lt;&gt; 0, 'Project Overview'!A23, "")</f>
        <v>2018IL342B-Rantoul</v>
      </c>
      <c r="B22" s="301"/>
      <c r="C22" s="291">
        <v>0</v>
      </c>
      <c r="D22" s="202"/>
      <c r="E22" s="202"/>
      <c r="F22" s="204"/>
      <c r="G22" s="210"/>
      <c r="H22" s="210"/>
      <c r="I22" s="210"/>
      <c r="J22" s="210"/>
      <c r="K22" s="210"/>
      <c r="L22" s="210"/>
      <c r="M22" s="210"/>
      <c r="N22" s="210"/>
      <c r="O22" s="210"/>
      <c r="P22" s="210"/>
      <c r="Q22" s="210"/>
      <c r="R22" s="210"/>
      <c r="S22" s="210"/>
      <c r="T22" s="210"/>
      <c r="U22" s="210"/>
    </row>
    <row r="23" spans="1:21" x14ac:dyDescent="0.25">
      <c r="A23" s="288" t="str">
        <f>IF(('Project Overview'!A24) &lt;&gt; 0, 'Project Overview'!A24, "")</f>
        <v>2019IL089B</v>
      </c>
      <c r="B23" s="302"/>
      <c r="C23" s="291">
        <v>0</v>
      </c>
      <c r="D23" s="202"/>
      <c r="E23" s="202"/>
      <c r="F23" s="204"/>
      <c r="G23" s="210"/>
      <c r="H23" s="210"/>
      <c r="I23" s="210"/>
      <c r="J23" s="210"/>
      <c r="K23" s="210"/>
      <c r="L23" s="210"/>
      <c r="M23" s="210"/>
      <c r="N23" s="210"/>
      <c r="O23" s="210"/>
      <c r="P23" s="210"/>
      <c r="Q23" s="210"/>
      <c r="R23" s="210"/>
      <c r="S23" s="210"/>
      <c r="T23" s="210"/>
      <c r="U23" s="210"/>
    </row>
    <row r="24" spans="1:21" x14ac:dyDescent="0.25">
      <c r="A24" s="288" t="str">
        <f>IF(('Project Overview'!A25) &lt;&gt; 0, 'Project Overview'!A25, "")</f>
        <v>2019IL090B</v>
      </c>
      <c r="C24" s="291">
        <v>0</v>
      </c>
      <c r="F24" s="209"/>
    </row>
    <row r="25" spans="1:21" x14ac:dyDescent="0.25">
      <c r="A25" s="288" t="str">
        <f>IF(('Project Overview'!A26) &lt;&gt; 0, 'Project Overview'!A26, "")</f>
        <v>2019IL091B</v>
      </c>
      <c r="C25" s="291">
        <v>0</v>
      </c>
      <c r="F25" s="209"/>
    </row>
    <row r="26" spans="1:21" x14ac:dyDescent="0.25">
      <c r="A26" s="288" t="str">
        <f>IF(('Project Overview'!A27) &lt;&gt; 0, 'Project Overview'!A27, "")</f>
        <v>2019IL092B</v>
      </c>
      <c r="C26" s="291">
        <v>0</v>
      </c>
      <c r="F26" s="209"/>
    </row>
    <row r="27" spans="1:21" x14ac:dyDescent="0.25">
      <c r="A27" s="288" t="str">
        <f>IF(('Project Overview'!A28) &lt;&gt; 0, 'Project Overview'!A28, "")</f>
        <v>2020IL216B</v>
      </c>
      <c r="C27" s="291">
        <v>0</v>
      </c>
      <c r="F27" s="209"/>
    </row>
    <row r="28" spans="1:21" x14ac:dyDescent="0.25">
      <c r="A28" s="288" t="str">
        <f>IF(('Project Overview'!A29) &lt;&gt; 0, 'Project Overview'!A29, "")</f>
        <v>2020IL212B</v>
      </c>
      <c r="C28" s="291">
        <v>0</v>
      </c>
      <c r="F28" s="209"/>
    </row>
    <row r="29" spans="1:21" x14ac:dyDescent="0.25">
      <c r="A29" s="288" t="str">
        <f>IF(('Project Overview'!A30) &lt;&gt; 0, 'Project Overview'!A30, "")</f>
        <v>2020IL214B</v>
      </c>
      <c r="C29" s="291">
        <v>0</v>
      </c>
      <c r="F29" s="209"/>
    </row>
    <row r="30" spans="1:21" x14ac:dyDescent="0.25">
      <c r="A30" s="288" t="str">
        <f>IF(('Project Overview'!A31) &lt;&gt; 0, 'Project Overview'!A31, "")</f>
        <v>2020IL217B</v>
      </c>
      <c r="C30" s="291">
        <v>0</v>
      </c>
      <c r="F30" s="209"/>
    </row>
    <row r="31" spans="1:21" x14ac:dyDescent="0.25">
      <c r="A31" s="288" t="str">
        <f>IF(('Project Overview'!A32) &lt;&gt; 0, 'Project Overview'!A32, "")</f>
        <v>2020IL215B</v>
      </c>
      <c r="C31" s="291">
        <v>0</v>
      </c>
      <c r="F31" s="209"/>
    </row>
    <row r="32" spans="1:21" x14ac:dyDescent="0.25">
      <c r="A32" s="288" t="str">
        <f>IF(('Project Overview'!A33) &lt;&gt; 0, 'Project Overview'!A33, "")</f>
        <v>2020IL218B</v>
      </c>
      <c r="C32" s="291">
        <v>0</v>
      </c>
      <c r="F32" s="209"/>
    </row>
    <row r="33" spans="1:6" ht="45" x14ac:dyDescent="0.25">
      <c r="A33" s="288" t="str">
        <f>IF(('Project Overview'!A34) &lt;&gt; 0, 'Project Overview'!A34, "")</f>
        <v>2020IL103AIS</v>
      </c>
      <c r="C33" s="303" t="s">
        <v>524</v>
      </c>
      <c r="D33" s="184">
        <v>16000</v>
      </c>
      <c r="E33" s="184" t="s">
        <v>20</v>
      </c>
      <c r="F33" s="209"/>
    </row>
    <row r="34" spans="1:6" x14ac:dyDescent="0.25">
      <c r="A34" s="212"/>
      <c r="F34" s="209"/>
    </row>
    <row r="35" spans="1:6" x14ac:dyDescent="0.25">
      <c r="A35" s="212"/>
      <c r="F35" s="209"/>
    </row>
    <row r="36" spans="1:6" x14ac:dyDescent="0.25">
      <c r="A36" s="212"/>
      <c r="F36" s="209"/>
    </row>
    <row r="37" spans="1:6" x14ac:dyDescent="0.25">
      <c r="A37" s="212"/>
      <c r="F37" s="209"/>
    </row>
    <row r="38" spans="1:6" x14ac:dyDescent="0.25">
      <c r="A38" s="212"/>
      <c r="F38" s="209"/>
    </row>
    <row r="39" spans="1:6" x14ac:dyDescent="0.25">
      <c r="A39" s="212"/>
      <c r="F39" s="209"/>
    </row>
    <row r="40" spans="1:6" x14ac:dyDescent="0.25">
      <c r="A40" s="212"/>
      <c r="F40" s="209"/>
    </row>
    <row r="41" spans="1:6" x14ac:dyDescent="0.25">
      <c r="A41" s="212"/>
      <c r="F41" s="209"/>
    </row>
    <row r="42" spans="1:6" x14ac:dyDescent="0.25">
      <c r="A42" s="212"/>
      <c r="F42" s="209"/>
    </row>
    <row r="43" spans="1:6" x14ac:dyDescent="0.25">
      <c r="A43" s="212"/>
      <c r="F43" s="209"/>
    </row>
    <row r="44" spans="1:6" x14ac:dyDescent="0.25">
      <c r="A44" s="212"/>
      <c r="F44" s="209"/>
    </row>
    <row r="45" spans="1:6" x14ac:dyDescent="0.25">
      <c r="A45" s="212"/>
      <c r="F45" s="209"/>
    </row>
    <row r="46" spans="1:6" x14ac:dyDescent="0.25">
      <c r="A46" s="212"/>
      <c r="F46" s="209"/>
    </row>
    <row r="47" spans="1:6" x14ac:dyDescent="0.25">
      <c r="A47" s="212"/>
      <c r="F47" s="209"/>
    </row>
    <row r="48" spans="1:6" x14ac:dyDescent="0.25">
      <c r="A48" s="212"/>
      <c r="F48" s="209"/>
    </row>
    <row r="49" spans="1:6" x14ac:dyDescent="0.25">
      <c r="A49" s="212"/>
      <c r="F49" s="209"/>
    </row>
    <row r="50" spans="1:6" x14ac:dyDescent="0.25">
      <c r="A50" s="212"/>
      <c r="F50" s="209"/>
    </row>
    <row r="51" spans="1:6" x14ac:dyDescent="0.25">
      <c r="A51" s="212"/>
      <c r="F51" s="209"/>
    </row>
    <row r="52" spans="1:6" x14ac:dyDescent="0.25">
      <c r="A52" s="212"/>
    </row>
    <row r="53" spans="1:6" x14ac:dyDescent="0.25">
      <c r="A53" s="212"/>
    </row>
    <row r="54" spans="1:6" x14ac:dyDescent="0.25">
      <c r="A54" s="212"/>
    </row>
    <row r="55" spans="1:6" x14ac:dyDescent="0.25">
      <c r="A55" s="212"/>
    </row>
    <row r="56" spans="1:6" x14ac:dyDescent="0.25">
      <c r="A56" s="212"/>
    </row>
    <row r="57" spans="1:6" x14ac:dyDescent="0.25">
      <c r="A57" s="212"/>
    </row>
    <row r="58" spans="1:6" x14ac:dyDescent="0.25">
      <c r="A58" s="212"/>
    </row>
    <row r="59" spans="1:6" x14ac:dyDescent="0.25">
      <c r="A59" s="212"/>
    </row>
    <row r="60" spans="1:6" x14ac:dyDescent="0.25">
      <c r="A60" s="212"/>
    </row>
    <row r="61" spans="1:6" x14ac:dyDescent="0.25">
      <c r="A61" s="212"/>
    </row>
    <row r="62" spans="1:6" x14ac:dyDescent="0.25">
      <c r="A62" s="212"/>
    </row>
    <row r="63" spans="1:6" x14ac:dyDescent="0.25">
      <c r="A63" s="212"/>
    </row>
    <row r="64" spans="1:6" x14ac:dyDescent="0.25">
      <c r="A64" s="212"/>
    </row>
    <row r="65" spans="1:1" x14ac:dyDescent="0.25">
      <c r="A65" s="212"/>
    </row>
    <row r="66" spans="1:1" x14ac:dyDescent="0.25">
      <c r="A66" s="212"/>
    </row>
    <row r="67" spans="1:1" x14ac:dyDescent="0.25">
      <c r="A67" s="212"/>
    </row>
    <row r="68" spans="1:1" x14ac:dyDescent="0.25">
      <c r="A68" s="212"/>
    </row>
    <row r="69" spans="1:1" x14ac:dyDescent="0.25">
      <c r="A69" s="212"/>
    </row>
    <row r="70" spans="1:1" x14ac:dyDescent="0.25">
      <c r="A70" s="212"/>
    </row>
    <row r="71" spans="1:1" x14ac:dyDescent="0.25">
      <c r="A71" s="212"/>
    </row>
    <row r="72" spans="1:1" x14ac:dyDescent="0.25">
      <c r="A72" s="212"/>
    </row>
    <row r="73" spans="1:1" x14ac:dyDescent="0.25">
      <c r="A73" s="212"/>
    </row>
    <row r="74" spans="1:1" x14ac:dyDescent="0.25">
      <c r="A74" s="212"/>
    </row>
    <row r="75" spans="1:1" x14ac:dyDescent="0.25">
      <c r="A75" s="212"/>
    </row>
    <row r="76" spans="1:1" x14ac:dyDescent="0.25">
      <c r="A76" s="212"/>
    </row>
    <row r="77" spans="1:1" x14ac:dyDescent="0.25">
      <c r="A77" s="212"/>
    </row>
    <row r="78" spans="1:1" x14ac:dyDescent="0.25">
      <c r="A78" s="212"/>
    </row>
    <row r="79" spans="1:1" x14ac:dyDescent="0.25">
      <c r="A79" s="212"/>
    </row>
    <row r="80" spans="1:1" x14ac:dyDescent="0.25">
      <c r="A80" s="212"/>
    </row>
    <row r="81" spans="1:1" x14ac:dyDescent="0.25">
      <c r="A81" s="212"/>
    </row>
    <row r="82" spans="1:1" x14ac:dyDescent="0.25">
      <c r="A82" s="212"/>
    </row>
    <row r="83" spans="1:1" x14ac:dyDescent="0.25">
      <c r="A83" s="212"/>
    </row>
    <row r="84" spans="1:1" x14ac:dyDescent="0.25">
      <c r="A84" s="212"/>
    </row>
    <row r="85" spans="1:1" x14ac:dyDescent="0.25">
      <c r="A85" s="212"/>
    </row>
    <row r="86" spans="1:1" x14ac:dyDescent="0.25">
      <c r="A86" s="212"/>
    </row>
    <row r="87" spans="1:1" x14ac:dyDescent="0.25">
      <c r="A87" s="212"/>
    </row>
    <row r="88" spans="1:1" x14ac:dyDescent="0.25">
      <c r="A88" s="212"/>
    </row>
    <row r="89" spans="1:1" x14ac:dyDescent="0.25">
      <c r="A89" s="212"/>
    </row>
    <row r="90" spans="1:1" x14ac:dyDescent="0.25">
      <c r="A90" s="212"/>
    </row>
    <row r="91" spans="1:1" x14ac:dyDescent="0.25">
      <c r="A91" s="212"/>
    </row>
    <row r="92" spans="1:1" x14ac:dyDescent="0.25">
      <c r="A92" s="212"/>
    </row>
    <row r="93" spans="1:1" x14ac:dyDescent="0.25">
      <c r="A93" s="212"/>
    </row>
    <row r="94" spans="1:1" x14ac:dyDescent="0.25">
      <c r="A94" s="212"/>
    </row>
    <row r="95" spans="1:1" x14ac:dyDescent="0.25">
      <c r="A95" s="212"/>
    </row>
    <row r="96" spans="1:1" x14ac:dyDescent="0.25">
      <c r="A96" s="212"/>
    </row>
    <row r="97" spans="1:1" x14ac:dyDescent="0.25">
      <c r="A97" s="212"/>
    </row>
    <row r="98" spans="1:1" x14ac:dyDescent="0.25">
      <c r="A98" s="212"/>
    </row>
    <row r="99" spans="1:1" x14ac:dyDescent="0.25">
      <c r="A99" s="212"/>
    </row>
    <row r="100" spans="1:1" x14ac:dyDescent="0.25">
      <c r="A100" s="212"/>
    </row>
    <row r="101" spans="1:1" x14ac:dyDescent="0.25">
      <c r="A101" s="212"/>
    </row>
    <row r="102" spans="1:1" x14ac:dyDescent="0.25">
      <c r="A102" s="212"/>
    </row>
    <row r="103" spans="1:1" x14ac:dyDescent="0.25">
      <c r="A103" s="212"/>
    </row>
    <row r="104" spans="1:1" x14ac:dyDescent="0.25">
      <c r="A104" s="212"/>
    </row>
    <row r="105" spans="1:1" x14ac:dyDescent="0.25">
      <c r="A105" s="212"/>
    </row>
    <row r="106" spans="1:1" x14ac:dyDescent="0.25">
      <c r="A106" s="212"/>
    </row>
    <row r="107" spans="1:1" x14ac:dyDescent="0.25">
      <c r="A107" s="212"/>
    </row>
    <row r="108" spans="1:1" x14ac:dyDescent="0.25">
      <c r="A108" s="212"/>
    </row>
    <row r="109" spans="1:1" x14ac:dyDescent="0.25">
      <c r="A109" s="212"/>
    </row>
    <row r="110" spans="1:1" x14ac:dyDescent="0.25">
      <c r="A110" s="212"/>
    </row>
    <row r="111" spans="1:1" x14ac:dyDescent="0.25">
      <c r="A111" s="212"/>
    </row>
    <row r="112" spans="1:1" x14ac:dyDescent="0.25">
      <c r="A112" s="212"/>
    </row>
    <row r="113" spans="1:1" x14ac:dyDescent="0.25">
      <c r="A113" s="212"/>
    </row>
    <row r="114" spans="1:1" x14ac:dyDescent="0.25">
      <c r="A114" s="212"/>
    </row>
    <row r="115" spans="1:1" x14ac:dyDescent="0.25">
      <c r="A115" s="212"/>
    </row>
    <row r="116" spans="1:1" x14ac:dyDescent="0.25">
      <c r="A116" s="212"/>
    </row>
    <row r="117" spans="1:1" x14ac:dyDescent="0.25">
      <c r="A117" s="212"/>
    </row>
    <row r="118" spans="1:1" x14ac:dyDescent="0.25">
      <c r="A118" s="212"/>
    </row>
    <row r="119" spans="1:1" x14ac:dyDescent="0.25">
      <c r="A119" s="212"/>
    </row>
    <row r="120" spans="1:1" x14ac:dyDescent="0.25">
      <c r="A120" s="212"/>
    </row>
    <row r="121" spans="1:1" x14ac:dyDescent="0.25">
      <c r="A121" s="212"/>
    </row>
    <row r="122" spans="1:1" x14ac:dyDescent="0.25">
      <c r="A122" s="212"/>
    </row>
    <row r="123" spans="1:1" x14ac:dyDescent="0.25">
      <c r="A123" s="212"/>
    </row>
    <row r="124" spans="1:1" x14ac:dyDescent="0.25">
      <c r="A124" s="212"/>
    </row>
    <row r="125" spans="1:1" x14ac:dyDescent="0.25">
      <c r="A125" s="212"/>
    </row>
    <row r="126" spans="1:1" x14ac:dyDescent="0.25">
      <c r="A126" s="212"/>
    </row>
    <row r="127" spans="1:1" x14ac:dyDescent="0.25">
      <c r="A127" s="212"/>
    </row>
    <row r="128" spans="1:1" x14ac:dyDescent="0.25">
      <c r="A128" s="212"/>
    </row>
    <row r="129" spans="1:1" x14ac:dyDescent="0.25">
      <c r="A129" s="212"/>
    </row>
    <row r="130" spans="1:1" x14ac:dyDescent="0.25">
      <c r="A130" s="212"/>
    </row>
    <row r="131" spans="1:1" x14ac:dyDescent="0.25">
      <c r="A131" s="212"/>
    </row>
    <row r="132" spans="1:1" x14ac:dyDescent="0.25">
      <c r="A132" s="212"/>
    </row>
    <row r="133" spans="1:1" x14ac:dyDescent="0.25">
      <c r="A133" s="212"/>
    </row>
    <row r="134" spans="1:1" x14ac:dyDescent="0.25">
      <c r="A134" s="212"/>
    </row>
    <row r="135" spans="1:1" x14ac:dyDescent="0.25">
      <c r="A135" s="212"/>
    </row>
    <row r="136" spans="1:1" x14ac:dyDescent="0.25">
      <c r="A136" s="212"/>
    </row>
    <row r="137" spans="1:1" x14ac:dyDescent="0.25">
      <c r="A137" s="212"/>
    </row>
    <row r="138" spans="1:1" x14ac:dyDescent="0.25">
      <c r="A138" s="212"/>
    </row>
    <row r="139" spans="1:1" x14ac:dyDescent="0.25">
      <c r="A139" s="212"/>
    </row>
    <row r="140" spans="1:1" x14ac:dyDescent="0.25">
      <c r="A140" s="212"/>
    </row>
    <row r="141" spans="1:1" x14ac:dyDescent="0.25">
      <c r="A141" s="212"/>
    </row>
    <row r="142" spans="1:1" x14ac:dyDescent="0.25">
      <c r="A142" s="212"/>
    </row>
    <row r="143" spans="1:1" x14ac:dyDescent="0.25">
      <c r="A143" s="212"/>
    </row>
    <row r="144" spans="1:1" x14ac:dyDescent="0.25">
      <c r="A144" s="212"/>
    </row>
    <row r="145" spans="1:1" x14ac:dyDescent="0.25">
      <c r="A145" s="212"/>
    </row>
    <row r="146" spans="1:1" x14ac:dyDescent="0.25">
      <c r="A146" s="212"/>
    </row>
    <row r="147" spans="1:1" x14ac:dyDescent="0.25">
      <c r="A147" s="212"/>
    </row>
    <row r="148" spans="1:1" x14ac:dyDescent="0.25">
      <c r="A148" s="212"/>
    </row>
    <row r="149" spans="1:1" x14ac:dyDescent="0.25">
      <c r="A149" s="212"/>
    </row>
    <row r="150" spans="1:1" x14ac:dyDescent="0.25">
      <c r="A150" s="212"/>
    </row>
    <row r="151" spans="1:1" x14ac:dyDescent="0.25">
      <c r="A151" s="212"/>
    </row>
    <row r="152" spans="1:1" x14ac:dyDescent="0.25">
      <c r="A152" s="212"/>
    </row>
    <row r="153" spans="1:1" x14ac:dyDescent="0.25">
      <c r="A153" s="212"/>
    </row>
    <row r="154" spans="1:1" x14ac:dyDescent="0.25">
      <c r="A154" s="212"/>
    </row>
    <row r="155" spans="1:1" x14ac:dyDescent="0.25">
      <c r="A155" s="212"/>
    </row>
    <row r="156" spans="1:1" x14ac:dyDescent="0.25">
      <c r="A156" s="212"/>
    </row>
    <row r="157" spans="1:1" x14ac:dyDescent="0.25">
      <c r="A157" s="212"/>
    </row>
    <row r="158" spans="1:1" x14ac:dyDescent="0.25">
      <c r="A158" s="212"/>
    </row>
    <row r="159" spans="1:1" x14ac:dyDescent="0.25">
      <c r="A159" s="212"/>
    </row>
    <row r="160" spans="1:1" x14ac:dyDescent="0.25">
      <c r="A160" s="212"/>
    </row>
    <row r="161" spans="1:1" x14ac:dyDescent="0.25">
      <c r="A161" s="212"/>
    </row>
    <row r="162" spans="1:1" x14ac:dyDescent="0.25">
      <c r="A162" s="212"/>
    </row>
    <row r="163" spans="1:1" x14ac:dyDescent="0.25">
      <c r="A163" s="212"/>
    </row>
    <row r="164" spans="1:1" x14ac:dyDescent="0.25">
      <c r="A164" s="212"/>
    </row>
    <row r="165" spans="1:1" x14ac:dyDescent="0.25">
      <c r="A165" s="212"/>
    </row>
    <row r="166" spans="1:1" x14ac:dyDescent="0.25">
      <c r="A166" s="212"/>
    </row>
    <row r="167" spans="1:1" x14ac:dyDescent="0.25">
      <c r="A167" s="212"/>
    </row>
    <row r="168" spans="1:1" x14ac:dyDescent="0.25">
      <c r="A168" s="212"/>
    </row>
    <row r="169" spans="1:1" x14ac:dyDescent="0.25">
      <c r="A169" s="212"/>
    </row>
    <row r="170" spans="1:1" x14ac:dyDescent="0.25">
      <c r="A170" s="212"/>
    </row>
    <row r="171" spans="1:1" x14ac:dyDescent="0.25">
      <c r="A171" s="212"/>
    </row>
    <row r="172" spans="1:1" x14ac:dyDescent="0.25">
      <c r="A172" s="212"/>
    </row>
    <row r="173" spans="1:1" x14ac:dyDescent="0.25">
      <c r="A173" s="212"/>
    </row>
    <row r="174" spans="1:1" x14ac:dyDescent="0.25">
      <c r="A174" s="212"/>
    </row>
    <row r="175" spans="1:1" x14ac:dyDescent="0.25">
      <c r="A175" s="212"/>
    </row>
    <row r="176" spans="1:1" x14ac:dyDescent="0.25">
      <c r="A176" s="212"/>
    </row>
    <row r="177" spans="1:1" x14ac:dyDescent="0.25">
      <c r="A177" s="212"/>
    </row>
    <row r="178" spans="1:1" x14ac:dyDescent="0.25">
      <c r="A178" s="212"/>
    </row>
    <row r="179" spans="1:1" x14ac:dyDescent="0.25">
      <c r="A179" s="212"/>
    </row>
    <row r="180" spans="1:1" x14ac:dyDescent="0.25">
      <c r="A180" s="212"/>
    </row>
    <row r="181" spans="1:1" x14ac:dyDescent="0.25">
      <c r="A181" s="212"/>
    </row>
    <row r="182" spans="1:1" x14ac:dyDescent="0.25">
      <c r="A182" s="212"/>
    </row>
    <row r="183" spans="1:1" x14ac:dyDescent="0.25">
      <c r="A183" s="212"/>
    </row>
    <row r="184" spans="1:1" x14ac:dyDescent="0.25">
      <c r="A184" s="212"/>
    </row>
    <row r="185" spans="1:1" x14ac:dyDescent="0.25">
      <c r="A185" s="212"/>
    </row>
    <row r="186" spans="1:1" x14ac:dyDescent="0.25">
      <c r="A186" s="212"/>
    </row>
    <row r="187" spans="1:1" x14ac:dyDescent="0.25">
      <c r="A187" s="212"/>
    </row>
    <row r="188" spans="1:1" x14ac:dyDescent="0.25">
      <c r="A188" s="212"/>
    </row>
    <row r="189" spans="1:1" x14ac:dyDescent="0.25">
      <c r="A189" s="212"/>
    </row>
    <row r="190" spans="1:1" x14ac:dyDescent="0.25">
      <c r="A190" s="212"/>
    </row>
    <row r="191" spans="1:1" x14ac:dyDescent="0.25">
      <c r="A191" s="212"/>
    </row>
    <row r="192" spans="1:1" x14ac:dyDescent="0.25">
      <c r="A192" s="212"/>
    </row>
    <row r="193" spans="1:1" x14ac:dyDescent="0.25">
      <c r="A193" s="212"/>
    </row>
    <row r="194" spans="1:1" x14ac:dyDescent="0.25">
      <c r="A194" s="212"/>
    </row>
    <row r="195" spans="1:1" x14ac:dyDescent="0.25">
      <c r="A195" s="212"/>
    </row>
    <row r="196" spans="1:1" x14ac:dyDescent="0.25">
      <c r="A196" s="212"/>
    </row>
    <row r="197" spans="1:1" x14ac:dyDescent="0.25">
      <c r="A197" s="212"/>
    </row>
    <row r="198" spans="1:1" x14ac:dyDescent="0.25">
      <c r="A198" s="212"/>
    </row>
    <row r="199" spans="1:1" x14ac:dyDescent="0.25">
      <c r="A199" s="212"/>
    </row>
    <row r="200" spans="1:1" x14ac:dyDescent="0.25">
      <c r="A200" s="212"/>
    </row>
    <row r="201" spans="1:1" x14ac:dyDescent="0.25">
      <c r="A201" s="212"/>
    </row>
    <row r="202" spans="1:1" x14ac:dyDescent="0.25">
      <c r="A202" s="212"/>
    </row>
    <row r="203" spans="1:1" x14ac:dyDescent="0.25">
      <c r="A203" s="212"/>
    </row>
    <row r="204" spans="1:1" x14ac:dyDescent="0.25">
      <c r="A204" s="212"/>
    </row>
    <row r="205" spans="1:1" x14ac:dyDescent="0.25">
      <c r="A205" s="212"/>
    </row>
    <row r="206" spans="1:1" x14ac:dyDescent="0.25">
      <c r="A206" s="212"/>
    </row>
    <row r="207" spans="1:1" x14ac:dyDescent="0.25">
      <c r="A207" s="212"/>
    </row>
    <row r="208" spans="1:1" x14ac:dyDescent="0.25">
      <c r="A208" s="212"/>
    </row>
    <row r="209" spans="1:1" x14ac:dyDescent="0.25">
      <c r="A209" s="212"/>
    </row>
    <row r="210" spans="1:1" x14ac:dyDescent="0.25">
      <c r="A210" s="212"/>
    </row>
    <row r="211" spans="1:1" x14ac:dyDescent="0.25">
      <c r="A211" s="212"/>
    </row>
    <row r="212" spans="1:1" x14ac:dyDescent="0.25">
      <c r="A212" s="212"/>
    </row>
    <row r="213" spans="1:1" x14ac:dyDescent="0.25">
      <c r="A213" s="212"/>
    </row>
    <row r="214" spans="1:1" x14ac:dyDescent="0.25">
      <c r="A214" s="212"/>
    </row>
    <row r="215" spans="1:1" x14ac:dyDescent="0.25">
      <c r="A215" s="212"/>
    </row>
    <row r="216" spans="1:1" x14ac:dyDescent="0.25">
      <c r="A216" s="212"/>
    </row>
    <row r="217" spans="1:1" x14ac:dyDescent="0.25">
      <c r="A217" s="212"/>
    </row>
    <row r="218" spans="1:1" x14ac:dyDescent="0.25">
      <c r="A218" s="212"/>
    </row>
    <row r="219" spans="1:1" x14ac:dyDescent="0.25">
      <c r="A219" s="212"/>
    </row>
    <row r="220" spans="1:1" x14ac:dyDescent="0.25">
      <c r="A220" s="212"/>
    </row>
    <row r="221" spans="1:1" x14ac:dyDescent="0.25">
      <c r="A221" s="212"/>
    </row>
    <row r="222" spans="1:1" x14ac:dyDescent="0.25">
      <c r="A222" s="212"/>
    </row>
    <row r="223" spans="1:1" x14ac:dyDescent="0.25">
      <c r="A223" s="212"/>
    </row>
    <row r="224" spans="1:1" x14ac:dyDescent="0.25">
      <c r="A224" s="212"/>
    </row>
    <row r="225" spans="1:1" x14ac:dyDescent="0.25">
      <c r="A225" s="212"/>
    </row>
    <row r="226" spans="1:1" x14ac:dyDescent="0.25">
      <c r="A226" s="212"/>
    </row>
    <row r="227" spans="1:1" x14ac:dyDescent="0.25">
      <c r="A227" s="212"/>
    </row>
    <row r="228" spans="1:1" x14ac:dyDescent="0.25">
      <c r="A228" s="212"/>
    </row>
    <row r="229" spans="1:1" x14ac:dyDescent="0.25">
      <c r="A229" s="212"/>
    </row>
    <row r="230" spans="1:1" x14ac:dyDescent="0.25">
      <c r="A230" s="212"/>
    </row>
    <row r="231" spans="1:1" x14ac:dyDescent="0.25">
      <c r="A231" s="212"/>
    </row>
    <row r="232" spans="1:1" x14ac:dyDescent="0.25">
      <c r="A232" s="212"/>
    </row>
    <row r="233" spans="1:1" x14ac:dyDescent="0.25">
      <c r="A233" s="212"/>
    </row>
    <row r="234" spans="1:1" x14ac:dyDescent="0.25">
      <c r="A234" s="212"/>
    </row>
    <row r="235" spans="1:1" x14ac:dyDescent="0.25">
      <c r="A235" s="212"/>
    </row>
    <row r="236" spans="1:1" x14ac:dyDescent="0.25">
      <c r="A236" s="212"/>
    </row>
    <row r="237" spans="1:1" x14ac:dyDescent="0.25">
      <c r="A237" s="212"/>
    </row>
    <row r="238" spans="1:1" x14ac:dyDescent="0.25">
      <c r="A238" s="212"/>
    </row>
    <row r="239" spans="1:1" x14ac:dyDescent="0.25">
      <c r="A239" s="212"/>
    </row>
    <row r="240" spans="1:1" x14ac:dyDescent="0.25">
      <c r="A240" s="212"/>
    </row>
    <row r="241" spans="1:1" x14ac:dyDescent="0.25">
      <c r="A241" s="212"/>
    </row>
    <row r="242" spans="1:1" x14ac:dyDescent="0.25">
      <c r="A242" s="212"/>
    </row>
    <row r="243" spans="1:1" x14ac:dyDescent="0.25">
      <c r="A243" s="212"/>
    </row>
    <row r="244" spans="1:1" x14ac:dyDescent="0.25">
      <c r="A244" s="212"/>
    </row>
    <row r="245" spans="1:1" x14ac:dyDescent="0.25">
      <c r="A245" s="212"/>
    </row>
    <row r="246" spans="1:1" x14ac:dyDescent="0.25">
      <c r="A246" s="212"/>
    </row>
    <row r="247" spans="1:1" x14ac:dyDescent="0.25">
      <c r="A247" s="212"/>
    </row>
    <row r="248" spans="1:1" x14ac:dyDescent="0.25">
      <c r="A248" s="212"/>
    </row>
    <row r="249" spans="1:1" x14ac:dyDescent="0.25">
      <c r="A249" s="212"/>
    </row>
    <row r="250" spans="1:1" x14ac:dyDescent="0.25">
      <c r="A250" s="212"/>
    </row>
    <row r="251" spans="1:1" x14ac:dyDescent="0.25">
      <c r="A251" s="212"/>
    </row>
    <row r="252" spans="1:1" x14ac:dyDescent="0.25">
      <c r="A252" s="212"/>
    </row>
    <row r="253" spans="1:1" x14ac:dyDescent="0.25">
      <c r="A253" s="212"/>
    </row>
    <row r="254" spans="1:1" x14ac:dyDescent="0.25">
      <c r="A254" s="212"/>
    </row>
    <row r="255" spans="1:1" x14ac:dyDescent="0.25">
      <c r="A255" s="212"/>
    </row>
    <row r="256" spans="1:1" x14ac:dyDescent="0.25">
      <c r="A256" s="212"/>
    </row>
    <row r="257" spans="1:1" x14ac:dyDescent="0.25">
      <c r="A257" s="212"/>
    </row>
    <row r="258" spans="1:1" x14ac:dyDescent="0.25">
      <c r="A258" s="212"/>
    </row>
    <row r="259" spans="1:1" x14ac:dyDescent="0.25">
      <c r="A259" s="212"/>
    </row>
    <row r="260" spans="1:1" x14ac:dyDescent="0.25">
      <c r="A260" s="212"/>
    </row>
    <row r="261" spans="1:1" x14ac:dyDescent="0.25">
      <c r="A261" s="212"/>
    </row>
    <row r="262" spans="1:1" x14ac:dyDescent="0.25">
      <c r="A262" s="212"/>
    </row>
    <row r="263" spans="1:1" x14ac:dyDescent="0.25">
      <c r="A263" s="212"/>
    </row>
    <row r="264" spans="1:1" x14ac:dyDescent="0.25">
      <c r="A264" s="212"/>
    </row>
    <row r="265" spans="1:1" x14ac:dyDescent="0.25">
      <c r="A265" s="212"/>
    </row>
    <row r="266" spans="1:1" x14ac:dyDescent="0.25">
      <c r="A266" s="212"/>
    </row>
    <row r="267" spans="1:1" x14ac:dyDescent="0.25">
      <c r="A267" s="212"/>
    </row>
    <row r="268" spans="1:1" x14ac:dyDescent="0.25">
      <c r="A268" s="212"/>
    </row>
    <row r="269" spans="1:1" x14ac:dyDescent="0.25">
      <c r="A269" s="212"/>
    </row>
    <row r="270" spans="1:1" x14ac:dyDescent="0.25">
      <c r="A270" s="212"/>
    </row>
    <row r="271" spans="1:1" x14ac:dyDescent="0.25">
      <c r="A271" s="212"/>
    </row>
    <row r="272" spans="1:1" x14ac:dyDescent="0.25">
      <c r="A272" s="212"/>
    </row>
    <row r="273" spans="1:1" x14ac:dyDescent="0.25">
      <c r="A273" s="212"/>
    </row>
    <row r="274" spans="1:1" x14ac:dyDescent="0.25">
      <c r="A274" s="212"/>
    </row>
    <row r="275" spans="1:1" x14ac:dyDescent="0.25">
      <c r="A275" s="212"/>
    </row>
    <row r="276" spans="1:1" x14ac:dyDescent="0.25">
      <c r="A276" s="212"/>
    </row>
    <row r="277" spans="1:1" x14ac:dyDescent="0.25">
      <c r="A277" s="212"/>
    </row>
    <row r="278" spans="1:1" x14ac:dyDescent="0.25">
      <c r="A278" s="212"/>
    </row>
    <row r="279" spans="1:1" x14ac:dyDescent="0.25">
      <c r="A279" s="212"/>
    </row>
    <row r="280" spans="1:1" x14ac:dyDescent="0.25">
      <c r="A280" s="212"/>
    </row>
    <row r="281" spans="1:1" x14ac:dyDescent="0.25">
      <c r="A281" s="212"/>
    </row>
    <row r="282" spans="1:1" x14ac:dyDescent="0.25">
      <c r="A282" s="212"/>
    </row>
    <row r="283" spans="1:1" x14ac:dyDescent="0.25">
      <c r="A283" s="212"/>
    </row>
    <row r="284" spans="1:1" x14ac:dyDescent="0.25">
      <c r="A284" s="212"/>
    </row>
    <row r="285" spans="1:1" x14ac:dyDescent="0.25">
      <c r="A285" s="212"/>
    </row>
    <row r="286" spans="1:1" x14ac:dyDescent="0.25">
      <c r="A286" s="212"/>
    </row>
    <row r="287" spans="1:1" x14ac:dyDescent="0.25">
      <c r="A287" s="212"/>
    </row>
    <row r="288" spans="1:1" x14ac:dyDescent="0.25">
      <c r="A288" s="212"/>
    </row>
    <row r="289" spans="1:1" x14ac:dyDescent="0.25">
      <c r="A289" s="212"/>
    </row>
    <row r="290" spans="1:1" x14ac:dyDescent="0.25">
      <c r="A290" s="212"/>
    </row>
    <row r="291" spans="1:1" x14ac:dyDescent="0.25">
      <c r="A291" s="212"/>
    </row>
    <row r="292" spans="1:1" x14ac:dyDescent="0.25">
      <c r="A292" s="212"/>
    </row>
    <row r="293" spans="1:1" x14ac:dyDescent="0.25">
      <c r="A293" s="212"/>
    </row>
    <row r="294" spans="1:1" x14ac:dyDescent="0.25">
      <c r="A294" s="212"/>
    </row>
    <row r="295" spans="1:1" x14ac:dyDescent="0.25">
      <c r="A295" s="212"/>
    </row>
    <row r="296" spans="1:1" x14ac:dyDescent="0.25">
      <c r="A296" s="212"/>
    </row>
    <row r="297" spans="1:1" x14ac:dyDescent="0.25">
      <c r="A297" s="212"/>
    </row>
    <row r="298" spans="1:1" x14ac:dyDescent="0.25">
      <c r="A298" s="212"/>
    </row>
    <row r="299" spans="1:1" x14ac:dyDescent="0.25">
      <c r="A299" s="212"/>
    </row>
    <row r="300" spans="1:1" x14ac:dyDescent="0.25">
      <c r="A300" s="212"/>
    </row>
    <row r="301" spans="1:1" x14ac:dyDescent="0.25">
      <c r="A301" s="212"/>
    </row>
    <row r="302" spans="1:1" x14ac:dyDescent="0.25">
      <c r="A302" s="212"/>
    </row>
    <row r="303" spans="1:1" x14ac:dyDescent="0.25">
      <c r="A303" s="212"/>
    </row>
    <row r="304" spans="1:1" x14ac:dyDescent="0.25">
      <c r="A304" s="212"/>
    </row>
    <row r="305" spans="1:1" x14ac:dyDescent="0.25">
      <c r="A305" s="212"/>
    </row>
    <row r="306" spans="1:1" x14ac:dyDescent="0.25">
      <c r="A306" s="212"/>
    </row>
    <row r="307" spans="1:1" x14ac:dyDescent="0.25">
      <c r="A307" s="212"/>
    </row>
    <row r="308" spans="1:1" x14ac:dyDescent="0.25">
      <c r="A308" s="212"/>
    </row>
    <row r="309" spans="1:1" x14ac:dyDescent="0.25">
      <c r="A309" s="212"/>
    </row>
    <row r="310" spans="1:1" x14ac:dyDescent="0.25">
      <c r="A310" s="212"/>
    </row>
    <row r="311" spans="1:1" x14ac:dyDescent="0.25">
      <c r="A311" s="212"/>
    </row>
    <row r="312" spans="1:1" x14ac:dyDescent="0.25">
      <c r="A312" s="212"/>
    </row>
    <row r="313" spans="1:1" x14ac:dyDescent="0.25">
      <c r="A313" s="212"/>
    </row>
    <row r="314" spans="1:1" x14ac:dyDescent="0.25">
      <c r="A314" s="212"/>
    </row>
    <row r="315" spans="1:1" x14ac:dyDescent="0.25">
      <c r="A315" s="212"/>
    </row>
    <row r="316" spans="1:1" x14ac:dyDescent="0.25">
      <c r="A316" s="212"/>
    </row>
    <row r="317" spans="1:1" x14ac:dyDescent="0.25">
      <c r="A317" s="212"/>
    </row>
    <row r="318" spans="1:1" x14ac:dyDescent="0.25">
      <c r="A318" s="212"/>
    </row>
    <row r="319" spans="1:1" x14ac:dyDescent="0.25">
      <c r="A319" s="212"/>
    </row>
    <row r="320" spans="1:1" x14ac:dyDescent="0.25">
      <c r="A320" s="212"/>
    </row>
    <row r="321" spans="1:1" x14ac:dyDescent="0.25">
      <c r="A321" s="212"/>
    </row>
    <row r="322" spans="1:1" x14ac:dyDescent="0.25">
      <c r="A322" s="212"/>
    </row>
    <row r="323" spans="1:1" x14ac:dyDescent="0.25">
      <c r="A323" s="212"/>
    </row>
    <row r="324" spans="1:1" x14ac:dyDescent="0.25">
      <c r="A324" s="212"/>
    </row>
    <row r="325" spans="1:1" x14ac:dyDescent="0.25">
      <c r="A325" s="212"/>
    </row>
    <row r="326" spans="1:1" x14ac:dyDescent="0.25">
      <c r="A326" s="212"/>
    </row>
    <row r="327" spans="1:1" x14ac:dyDescent="0.25">
      <c r="A327" s="212"/>
    </row>
    <row r="328" spans="1:1" x14ac:dyDescent="0.25">
      <c r="A328" s="212"/>
    </row>
    <row r="329" spans="1:1" x14ac:dyDescent="0.25">
      <c r="A329" s="212"/>
    </row>
    <row r="330" spans="1:1" x14ac:dyDescent="0.25">
      <c r="A330" s="212"/>
    </row>
    <row r="331" spans="1:1" x14ac:dyDescent="0.25">
      <c r="A331" s="212"/>
    </row>
    <row r="332" spans="1:1" x14ac:dyDescent="0.25">
      <c r="A332" s="212"/>
    </row>
    <row r="333" spans="1:1" x14ac:dyDescent="0.25">
      <c r="A333" s="212"/>
    </row>
    <row r="334" spans="1:1" x14ac:dyDescent="0.25">
      <c r="A334" s="212"/>
    </row>
    <row r="335" spans="1:1" x14ac:dyDescent="0.25">
      <c r="A335" s="212"/>
    </row>
    <row r="336" spans="1:1" x14ac:dyDescent="0.25">
      <c r="A336" s="212"/>
    </row>
    <row r="337" spans="1:1" x14ac:dyDescent="0.25">
      <c r="A337" s="212"/>
    </row>
    <row r="338" spans="1:1" x14ac:dyDescent="0.25">
      <c r="A338" s="212"/>
    </row>
    <row r="339" spans="1:1" x14ac:dyDescent="0.25">
      <c r="A339" s="212"/>
    </row>
    <row r="340" spans="1:1" x14ac:dyDescent="0.25">
      <c r="A340" s="212"/>
    </row>
    <row r="341" spans="1:1" x14ac:dyDescent="0.25">
      <c r="A341" s="212"/>
    </row>
    <row r="342" spans="1:1" x14ac:dyDescent="0.25">
      <c r="A342" s="212"/>
    </row>
    <row r="343" spans="1:1" x14ac:dyDescent="0.25">
      <c r="A343" s="212"/>
    </row>
    <row r="344" spans="1:1" x14ac:dyDescent="0.25">
      <c r="A344" s="212"/>
    </row>
    <row r="345" spans="1:1" x14ac:dyDescent="0.25">
      <c r="A345" s="212"/>
    </row>
    <row r="346" spans="1:1" x14ac:dyDescent="0.25">
      <c r="A346" s="212"/>
    </row>
    <row r="347" spans="1:1" x14ac:dyDescent="0.25">
      <c r="A347" s="212"/>
    </row>
    <row r="348" spans="1:1" x14ac:dyDescent="0.25">
      <c r="A348" s="212"/>
    </row>
    <row r="349" spans="1:1" x14ac:dyDescent="0.25">
      <c r="A349" s="212"/>
    </row>
    <row r="350" spans="1:1" x14ac:dyDescent="0.25">
      <c r="A350" s="212"/>
    </row>
    <row r="351" spans="1:1" x14ac:dyDescent="0.25">
      <c r="A351" s="212"/>
    </row>
    <row r="352" spans="1:1" x14ac:dyDescent="0.25">
      <c r="A352" s="212"/>
    </row>
    <row r="353" spans="1:1" x14ac:dyDescent="0.25">
      <c r="A353" s="212"/>
    </row>
    <row r="354" spans="1:1" x14ac:dyDescent="0.25">
      <c r="A354" s="212"/>
    </row>
    <row r="355" spans="1:1" x14ac:dyDescent="0.25">
      <c r="A355" s="212"/>
    </row>
    <row r="356" spans="1:1" x14ac:dyDescent="0.25">
      <c r="A356" s="212"/>
    </row>
    <row r="357" spans="1:1" x14ac:dyDescent="0.25">
      <c r="A357" s="212"/>
    </row>
    <row r="358" spans="1:1" x14ac:dyDescent="0.25">
      <c r="A358" s="212"/>
    </row>
    <row r="359" spans="1:1" x14ac:dyDescent="0.25">
      <c r="A359" s="212"/>
    </row>
    <row r="360" spans="1:1" x14ac:dyDescent="0.25">
      <c r="A360" s="212"/>
    </row>
    <row r="361" spans="1:1" x14ac:dyDescent="0.25">
      <c r="A361" s="212"/>
    </row>
    <row r="362" spans="1:1" x14ac:dyDescent="0.25">
      <c r="A362" s="212"/>
    </row>
    <row r="363" spans="1:1" x14ac:dyDescent="0.25">
      <c r="A363" s="212"/>
    </row>
    <row r="364" spans="1:1" x14ac:dyDescent="0.25">
      <c r="A364" s="212"/>
    </row>
    <row r="365" spans="1:1" x14ac:dyDescent="0.25">
      <c r="A365" s="212"/>
    </row>
    <row r="366" spans="1:1" x14ac:dyDescent="0.25">
      <c r="A366" s="212"/>
    </row>
    <row r="367" spans="1:1" x14ac:dyDescent="0.25">
      <c r="A367" s="212"/>
    </row>
    <row r="368" spans="1:1" x14ac:dyDescent="0.25">
      <c r="A368" s="212"/>
    </row>
    <row r="369" spans="1:1" x14ac:dyDescent="0.25">
      <c r="A369" s="212"/>
    </row>
    <row r="370" spans="1:1" x14ac:dyDescent="0.25">
      <c r="A370" s="212"/>
    </row>
    <row r="371" spans="1:1" x14ac:dyDescent="0.25">
      <c r="A371" s="212"/>
    </row>
    <row r="372" spans="1:1" x14ac:dyDescent="0.25">
      <c r="A372" s="212"/>
    </row>
    <row r="373" spans="1:1" x14ac:dyDescent="0.25">
      <c r="A373" s="212"/>
    </row>
    <row r="374" spans="1:1" x14ac:dyDescent="0.25">
      <c r="A374" s="212"/>
    </row>
    <row r="375" spans="1:1" x14ac:dyDescent="0.25">
      <c r="A375" s="212"/>
    </row>
    <row r="376" spans="1:1" x14ac:dyDescent="0.25">
      <c r="A376" s="212"/>
    </row>
    <row r="377" spans="1:1" x14ac:dyDescent="0.25">
      <c r="A377" s="212"/>
    </row>
    <row r="378" spans="1:1" x14ac:dyDescent="0.25">
      <c r="A378" s="212"/>
    </row>
    <row r="379" spans="1:1" x14ac:dyDescent="0.25">
      <c r="A379" s="212"/>
    </row>
    <row r="380" spans="1:1" x14ac:dyDescent="0.25">
      <c r="A380" s="212"/>
    </row>
    <row r="381" spans="1:1" x14ac:dyDescent="0.25">
      <c r="A381" s="212"/>
    </row>
    <row r="382" spans="1:1" x14ac:dyDescent="0.25">
      <c r="A382" s="212"/>
    </row>
    <row r="383" spans="1:1" x14ac:dyDescent="0.25">
      <c r="A383" s="212"/>
    </row>
    <row r="384" spans="1:1" x14ac:dyDescent="0.25">
      <c r="A384" s="212"/>
    </row>
    <row r="385" spans="1:1" x14ac:dyDescent="0.25">
      <c r="A385" s="212"/>
    </row>
    <row r="386" spans="1:1" x14ac:dyDescent="0.25">
      <c r="A386" s="212"/>
    </row>
    <row r="387" spans="1:1" x14ac:dyDescent="0.25">
      <c r="A387" s="212"/>
    </row>
    <row r="388" spans="1:1" x14ac:dyDescent="0.25">
      <c r="A388" s="212"/>
    </row>
    <row r="389" spans="1:1" x14ac:dyDescent="0.25">
      <c r="A389" s="212"/>
    </row>
    <row r="390" spans="1:1" x14ac:dyDescent="0.25">
      <c r="A390" s="212"/>
    </row>
    <row r="391" spans="1:1" x14ac:dyDescent="0.25">
      <c r="A391" s="212"/>
    </row>
    <row r="392" spans="1:1" x14ac:dyDescent="0.25">
      <c r="A392" s="212"/>
    </row>
    <row r="393" spans="1:1" x14ac:dyDescent="0.25">
      <c r="A393" s="212"/>
    </row>
    <row r="394" spans="1:1" x14ac:dyDescent="0.25">
      <c r="A394" s="212"/>
    </row>
    <row r="395" spans="1:1" x14ac:dyDescent="0.25">
      <c r="A395" s="212"/>
    </row>
    <row r="396" spans="1:1" x14ac:dyDescent="0.25">
      <c r="A396" s="212"/>
    </row>
    <row r="397" spans="1:1" x14ac:dyDescent="0.25">
      <c r="A397" s="212"/>
    </row>
  </sheetData>
  <dataValidations count="2">
    <dataValidation type="list" allowBlank="1" showInputMessage="1" showErrorMessage="1" sqref="B22:B1048576" xr:uid="{9418B68D-7E52-48EB-8845-45717570BB20}">
      <formula1>"Book, Dataset, Extension or Technical Bulletin, Journal Article, Journal Article or Report In-Prep, Map or Interactive Mapper, Report, Thesis/Dissertation, Tool, Web-page or Storyboard, Other (provide additional detail in comments),"</formula1>
    </dataValidation>
    <dataValidation type="list" allowBlank="1" showInputMessage="1" showErrorMessage="1" sqref="B2:B21" xr:uid="{DF999280-0859-4963-B43D-990565D2D7E1}">
      <formula1>"Base Grant (104b), Coordination Grant, 104g - General, 104g - PFAS, 104g - AIS,"</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81F2F-C6CE-4D50-A9F2-BCDC0147B87D}">
  <sheetPr>
    <tabColor rgb="FFFF0000"/>
  </sheetPr>
  <dimension ref="A1:W371"/>
  <sheetViews>
    <sheetView topLeftCell="A14" zoomScale="110" zoomScaleNormal="110" workbookViewId="0">
      <selection activeCell="A21" sqref="A21"/>
    </sheetView>
  </sheetViews>
  <sheetFormatPr defaultColWidth="9.140625" defaultRowHeight="15" x14ac:dyDescent="0.25"/>
  <cols>
    <col min="1" max="1" width="17.42578125" style="183" customWidth="1"/>
    <col min="2" max="2" width="25.140625" style="213" customWidth="1"/>
    <col min="3" max="3" width="68" style="207" customWidth="1"/>
    <col min="4" max="4" width="50.140625" style="184" customWidth="1"/>
    <col min="5" max="5" width="20.140625" style="184" customWidth="1"/>
    <col min="6" max="7" width="33.42578125" style="208" customWidth="1"/>
    <col min="8" max="8" width="24.5703125" style="209" customWidth="1"/>
    <col min="9" max="16384" width="9.140625" style="190"/>
  </cols>
  <sheetData>
    <row r="1" spans="1:23" s="199" customFormat="1" ht="117.75" customHeight="1" thickBot="1" x14ac:dyDescent="0.3">
      <c r="A1" s="193" t="s">
        <v>364</v>
      </c>
      <c r="B1" s="194" t="s">
        <v>369</v>
      </c>
      <c r="C1" s="195" t="s">
        <v>370</v>
      </c>
      <c r="D1" s="196" t="s">
        <v>371</v>
      </c>
      <c r="E1" s="196" t="s">
        <v>372</v>
      </c>
      <c r="F1" s="197" t="s">
        <v>373</v>
      </c>
      <c r="G1" s="197" t="s">
        <v>374</v>
      </c>
      <c r="H1" s="198" t="s">
        <v>375</v>
      </c>
    </row>
    <row r="2" spans="1:23" s="206" customFormat="1" ht="45" x14ac:dyDescent="0.25">
      <c r="A2" s="182" t="s">
        <v>226</v>
      </c>
      <c r="B2" s="200" t="s">
        <v>376</v>
      </c>
      <c r="C2" s="201" t="s">
        <v>529</v>
      </c>
      <c r="D2" s="214" t="s">
        <v>377</v>
      </c>
      <c r="E2" s="202">
        <v>2019</v>
      </c>
      <c r="F2" s="203">
        <v>0</v>
      </c>
      <c r="G2" s="203">
        <v>1</v>
      </c>
      <c r="H2" s="204"/>
      <c r="I2" s="205"/>
      <c r="J2" s="205"/>
      <c r="K2" s="205"/>
      <c r="L2" s="205"/>
      <c r="M2" s="205"/>
      <c r="N2" s="205"/>
      <c r="O2" s="205"/>
      <c r="P2" s="205"/>
      <c r="Q2" s="205"/>
      <c r="R2" s="205"/>
      <c r="S2" s="205"/>
      <c r="T2" s="205"/>
      <c r="U2" s="205"/>
      <c r="V2" s="205"/>
      <c r="W2" s="205"/>
    </row>
    <row r="3" spans="1:23" ht="45" x14ac:dyDescent="0.25">
      <c r="A3" s="212" t="s">
        <v>233</v>
      </c>
      <c r="B3" s="200" t="s">
        <v>376</v>
      </c>
      <c r="C3" s="207" t="s">
        <v>534</v>
      </c>
      <c r="D3" s="62" t="s">
        <v>526</v>
      </c>
      <c r="E3" s="184">
        <v>2018</v>
      </c>
      <c r="F3" s="208">
        <v>0</v>
      </c>
      <c r="G3" s="208">
        <v>2</v>
      </c>
    </row>
    <row r="4" spans="1:23" ht="75" x14ac:dyDescent="0.25">
      <c r="A4" s="212" t="s">
        <v>233</v>
      </c>
      <c r="B4" s="200" t="s">
        <v>376</v>
      </c>
      <c r="C4" s="207" t="s">
        <v>535</v>
      </c>
      <c r="D4" s="62" t="s">
        <v>527</v>
      </c>
      <c r="E4" s="184">
        <v>2018</v>
      </c>
      <c r="F4" s="208">
        <v>0</v>
      </c>
      <c r="G4" s="208">
        <v>1</v>
      </c>
    </row>
    <row r="5" spans="1:23" ht="75" x14ac:dyDescent="0.25">
      <c r="A5" s="212" t="s">
        <v>216</v>
      </c>
      <c r="B5" s="200" t="s">
        <v>376</v>
      </c>
      <c r="C5" s="207" t="s">
        <v>536</v>
      </c>
      <c r="D5" s="62" t="s">
        <v>537</v>
      </c>
      <c r="E5" s="184">
        <v>2020</v>
      </c>
      <c r="F5" s="208">
        <v>0</v>
      </c>
      <c r="G5" s="208">
        <v>1</v>
      </c>
    </row>
    <row r="6" spans="1:23" ht="60" x14ac:dyDescent="0.25">
      <c r="A6" s="212" t="s">
        <v>302</v>
      </c>
      <c r="B6" s="200" t="s">
        <v>376</v>
      </c>
      <c r="C6" s="207" t="s">
        <v>538</v>
      </c>
      <c r="D6" s="62" t="s">
        <v>539</v>
      </c>
      <c r="E6" s="184">
        <v>2020</v>
      </c>
      <c r="F6" s="208">
        <v>0</v>
      </c>
      <c r="G6" s="208">
        <v>3</v>
      </c>
    </row>
    <row r="7" spans="1:23" ht="45" x14ac:dyDescent="0.25">
      <c r="A7" s="212" t="s">
        <v>540</v>
      </c>
      <c r="B7" s="200" t="s">
        <v>376</v>
      </c>
      <c r="C7" s="207" t="s">
        <v>541</v>
      </c>
      <c r="D7" s="62" t="s">
        <v>542</v>
      </c>
      <c r="E7" s="184">
        <v>2018</v>
      </c>
      <c r="F7" s="208">
        <v>0</v>
      </c>
      <c r="G7" s="208">
        <v>2</v>
      </c>
    </row>
    <row r="8" spans="1:23" ht="90" x14ac:dyDescent="0.25">
      <c r="A8" s="212" t="s">
        <v>258</v>
      </c>
      <c r="B8" s="200" t="s">
        <v>376</v>
      </c>
      <c r="C8" s="207" t="s">
        <v>543</v>
      </c>
      <c r="D8" s="62" t="s">
        <v>544</v>
      </c>
      <c r="E8" s="184">
        <v>2019</v>
      </c>
      <c r="F8" s="208">
        <v>0</v>
      </c>
      <c r="G8" s="208">
        <v>2</v>
      </c>
    </row>
    <row r="9" spans="1:23" ht="60" x14ac:dyDescent="0.25">
      <c r="A9" s="212" t="s">
        <v>258</v>
      </c>
      <c r="B9" s="200" t="s">
        <v>376</v>
      </c>
      <c r="C9" s="207" t="s">
        <v>545</v>
      </c>
      <c r="D9" s="62" t="s">
        <v>546</v>
      </c>
      <c r="E9" s="184">
        <v>2020</v>
      </c>
      <c r="F9" s="208">
        <v>0</v>
      </c>
      <c r="G9" s="208">
        <v>2</v>
      </c>
    </row>
    <row r="10" spans="1:23" ht="90" x14ac:dyDescent="0.25">
      <c r="A10" s="212" t="s">
        <v>258</v>
      </c>
      <c r="B10" s="200" t="s">
        <v>376</v>
      </c>
      <c r="C10" s="207" t="s">
        <v>547</v>
      </c>
      <c r="D10" s="62" t="s">
        <v>548</v>
      </c>
      <c r="E10" s="184">
        <v>2019</v>
      </c>
      <c r="F10" s="208">
        <v>0</v>
      </c>
      <c r="G10" s="208">
        <v>2</v>
      </c>
    </row>
    <row r="11" spans="1:23" ht="60" x14ac:dyDescent="0.25">
      <c r="A11" s="212" t="s">
        <v>302</v>
      </c>
      <c r="B11" s="200" t="s">
        <v>376</v>
      </c>
      <c r="C11" s="207" t="s">
        <v>549</v>
      </c>
      <c r="D11" s="62" t="s">
        <v>550</v>
      </c>
      <c r="E11" s="184">
        <v>2020</v>
      </c>
      <c r="F11" s="208">
        <v>0</v>
      </c>
      <c r="G11" s="208">
        <v>1</v>
      </c>
    </row>
    <row r="12" spans="1:23" ht="75" x14ac:dyDescent="0.25">
      <c r="A12" s="212" t="s">
        <v>273</v>
      </c>
      <c r="B12" s="200" t="s">
        <v>376</v>
      </c>
      <c r="C12" s="207" t="s">
        <v>551</v>
      </c>
      <c r="D12" s="62" t="s">
        <v>552</v>
      </c>
      <c r="E12" s="184">
        <v>2020</v>
      </c>
      <c r="F12" s="208">
        <v>0</v>
      </c>
      <c r="G12" s="208">
        <v>1</v>
      </c>
    </row>
    <row r="13" spans="1:23" ht="60" x14ac:dyDescent="0.25">
      <c r="A13" s="212" t="s">
        <v>233</v>
      </c>
      <c r="B13" s="200" t="s">
        <v>376</v>
      </c>
      <c r="C13" s="207" t="s">
        <v>553</v>
      </c>
      <c r="D13" s="62" t="s">
        <v>554</v>
      </c>
      <c r="E13" s="184">
        <v>2020</v>
      </c>
      <c r="F13" s="208">
        <v>0</v>
      </c>
      <c r="G13" s="208">
        <v>1</v>
      </c>
    </row>
    <row r="14" spans="1:23" ht="60" x14ac:dyDescent="0.25">
      <c r="A14" s="212" t="s">
        <v>233</v>
      </c>
      <c r="B14" s="200" t="s">
        <v>376</v>
      </c>
      <c r="C14" s="207" t="s">
        <v>555</v>
      </c>
      <c r="D14" s="62" t="s">
        <v>556</v>
      </c>
      <c r="E14" s="184">
        <v>2018</v>
      </c>
      <c r="F14" s="208">
        <v>0</v>
      </c>
      <c r="G14" s="208">
        <v>1</v>
      </c>
    </row>
    <row r="15" spans="1:23" ht="45" x14ac:dyDescent="0.25">
      <c r="A15" s="212" t="s">
        <v>540</v>
      </c>
      <c r="B15" s="200" t="s">
        <v>376</v>
      </c>
      <c r="C15" s="207" t="s">
        <v>557</v>
      </c>
      <c r="D15" s="62" t="s">
        <v>558</v>
      </c>
      <c r="E15" s="184">
        <v>2019</v>
      </c>
      <c r="F15" s="208">
        <v>0</v>
      </c>
      <c r="G15" s="208">
        <v>3</v>
      </c>
    </row>
    <row r="16" spans="1:23" ht="45" x14ac:dyDescent="0.25">
      <c r="A16" s="212" t="s">
        <v>540</v>
      </c>
      <c r="B16" s="200" t="s">
        <v>376</v>
      </c>
      <c r="C16" s="207" t="s">
        <v>560</v>
      </c>
      <c r="D16" s="62" t="s">
        <v>561</v>
      </c>
      <c r="E16" s="184">
        <v>2019</v>
      </c>
      <c r="F16" s="208">
        <v>0</v>
      </c>
      <c r="G16" s="208">
        <v>0</v>
      </c>
    </row>
    <row r="17" spans="1:7" ht="60" x14ac:dyDescent="0.25">
      <c r="A17" s="212" t="s">
        <v>562</v>
      </c>
      <c r="B17" s="200" t="s">
        <v>376</v>
      </c>
      <c r="C17" s="207" t="s">
        <v>563</v>
      </c>
      <c r="D17" s="216" t="s">
        <v>564</v>
      </c>
      <c r="E17" s="184">
        <v>2017</v>
      </c>
      <c r="F17" s="208" t="s">
        <v>20</v>
      </c>
      <c r="G17" s="208" t="s">
        <v>20</v>
      </c>
    </row>
    <row r="18" spans="1:7" ht="60" x14ac:dyDescent="0.25">
      <c r="A18" s="212" t="s">
        <v>565</v>
      </c>
      <c r="B18" s="200" t="s">
        <v>376</v>
      </c>
      <c r="C18" s="207" t="s">
        <v>566</v>
      </c>
      <c r="D18" s="216" t="s">
        <v>567</v>
      </c>
      <c r="E18" s="184">
        <v>2019</v>
      </c>
      <c r="F18" s="208">
        <v>0</v>
      </c>
      <c r="G18" s="208">
        <v>1</v>
      </c>
    </row>
    <row r="19" spans="1:7" ht="60" x14ac:dyDescent="0.25">
      <c r="A19" s="212" t="s">
        <v>243</v>
      </c>
      <c r="B19" s="200" t="s">
        <v>376</v>
      </c>
      <c r="C19" s="207" t="s">
        <v>568</v>
      </c>
      <c r="D19" s="216" t="s">
        <v>569</v>
      </c>
      <c r="E19" s="184">
        <v>2019</v>
      </c>
      <c r="F19" s="208">
        <v>0</v>
      </c>
      <c r="G19" s="208">
        <v>1</v>
      </c>
    </row>
    <row r="20" spans="1:7" ht="45" x14ac:dyDescent="0.25">
      <c r="A20" s="212" t="s">
        <v>525</v>
      </c>
      <c r="B20" s="200" t="s">
        <v>376</v>
      </c>
      <c r="C20" s="207" t="s">
        <v>532</v>
      </c>
      <c r="D20" s="216" t="s">
        <v>533</v>
      </c>
      <c r="E20" s="184">
        <v>2016</v>
      </c>
      <c r="F20" s="208">
        <v>0</v>
      </c>
      <c r="G20" s="208">
        <v>1</v>
      </c>
    </row>
    <row r="21" spans="1:7" ht="60" x14ac:dyDescent="0.25">
      <c r="A21" s="212" t="s">
        <v>197</v>
      </c>
      <c r="B21" s="200" t="s">
        <v>376</v>
      </c>
      <c r="C21" s="207" t="s">
        <v>579</v>
      </c>
      <c r="D21" s="216" t="s">
        <v>580</v>
      </c>
      <c r="E21" s="184">
        <v>2019</v>
      </c>
      <c r="F21" s="208">
        <v>3</v>
      </c>
      <c r="G21" s="208">
        <v>3</v>
      </c>
    </row>
    <row r="22" spans="1:7" ht="60" x14ac:dyDescent="0.25">
      <c r="A22" s="212" t="s">
        <v>197</v>
      </c>
      <c r="B22" s="200" t="s">
        <v>376</v>
      </c>
      <c r="C22" s="207" t="s">
        <v>581</v>
      </c>
      <c r="D22" s="216" t="s">
        <v>582</v>
      </c>
      <c r="E22" s="184">
        <v>2018</v>
      </c>
      <c r="F22" s="208">
        <v>3</v>
      </c>
      <c r="G22" s="208">
        <v>3</v>
      </c>
    </row>
    <row r="23" spans="1:7" ht="45" x14ac:dyDescent="0.25">
      <c r="A23" s="212" t="s">
        <v>283</v>
      </c>
      <c r="B23" s="200" t="s">
        <v>376</v>
      </c>
      <c r="C23" s="207" t="s">
        <v>530</v>
      </c>
      <c r="D23" s="216" t="s">
        <v>583</v>
      </c>
      <c r="E23" s="184">
        <v>2019</v>
      </c>
      <c r="F23" s="208">
        <v>0</v>
      </c>
      <c r="G23" s="208">
        <v>1</v>
      </c>
    </row>
    <row r="24" spans="1:7" x14ac:dyDescent="0.25">
      <c r="A24" s="212"/>
      <c r="B24" s="200"/>
      <c r="E24" s="184" t="s">
        <v>584</v>
      </c>
    </row>
    <row r="25" spans="1:7" x14ac:dyDescent="0.25">
      <c r="A25" s="212"/>
      <c r="B25" s="200"/>
    </row>
    <row r="26" spans="1:7" x14ac:dyDescent="0.25">
      <c r="A26" s="212"/>
      <c r="B26" s="200"/>
    </row>
    <row r="27" spans="1:7" x14ac:dyDescent="0.25">
      <c r="A27" s="212"/>
      <c r="B27" s="200"/>
    </row>
    <row r="28" spans="1:7" x14ac:dyDescent="0.25">
      <c r="A28" s="212"/>
      <c r="B28" s="200"/>
    </row>
    <row r="29" spans="1:7" x14ac:dyDescent="0.25">
      <c r="A29" s="212"/>
      <c r="B29" s="200"/>
    </row>
    <row r="30" spans="1:7" x14ac:dyDescent="0.25">
      <c r="A30" s="212"/>
      <c r="B30" s="200"/>
    </row>
    <row r="31" spans="1:7" x14ac:dyDescent="0.25">
      <c r="A31" s="212"/>
      <c r="B31" s="200"/>
    </row>
    <row r="32" spans="1:7" x14ac:dyDescent="0.25">
      <c r="A32" s="212"/>
      <c r="B32" s="200"/>
    </row>
    <row r="33" spans="1:2" x14ac:dyDescent="0.25">
      <c r="A33" s="212"/>
      <c r="B33" s="200"/>
    </row>
    <row r="34" spans="1:2" x14ac:dyDescent="0.25">
      <c r="A34" s="212"/>
      <c r="B34" s="200"/>
    </row>
    <row r="35" spans="1:2" x14ac:dyDescent="0.25">
      <c r="A35" s="212"/>
      <c r="B35" s="200"/>
    </row>
    <row r="36" spans="1:2" x14ac:dyDescent="0.25">
      <c r="A36" s="212"/>
      <c r="B36" s="200"/>
    </row>
    <row r="37" spans="1:2" x14ac:dyDescent="0.25">
      <c r="A37" s="212"/>
      <c r="B37" s="200"/>
    </row>
    <row r="38" spans="1:2" x14ac:dyDescent="0.25">
      <c r="A38" s="212"/>
      <c r="B38" s="200"/>
    </row>
    <row r="39" spans="1:2" x14ac:dyDescent="0.25">
      <c r="A39" s="212"/>
      <c r="B39" s="200"/>
    </row>
    <row r="40" spans="1:2" x14ac:dyDescent="0.25">
      <c r="A40" s="212"/>
      <c r="B40" s="200"/>
    </row>
    <row r="41" spans="1:2" x14ac:dyDescent="0.25">
      <c r="A41" s="212"/>
      <c r="B41" s="200"/>
    </row>
    <row r="42" spans="1:2" x14ac:dyDescent="0.25">
      <c r="A42" s="212"/>
      <c r="B42" s="200"/>
    </row>
    <row r="43" spans="1:2" x14ac:dyDescent="0.25">
      <c r="A43" s="212"/>
      <c r="B43" s="200"/>
    </row>
    <row r="44" spans="1:2" x14ac:dyDescent="0.25">
      <c r="A44" s="212"/>
      <c r="B44" s="200"/>
    </row>
    <row r="45" spans="1:2" x14ac:dyDescent="0.25">
      <c r="A45" s="212"/>
      <c r="B45" s="200"/>
    </row>
    <row r="46" spans="1:2" x14ac:dyDescent="0.25">
      <c r="A46" s="212"/>
      <c r="B46" s="200"/>
    </row>
    <row r="47" spans="1:2" x14ac:dyDescent="0.25">
      <c r="A47" s="212"/>
      <c r="B47" s="200"/>
    </row>
    <row r="48" spans="1:2" x14ac:dyDescent="0.25">
      <c r="A48" s="212"/>
      <c r="B48" s="200"/>
    </row>
    <row r="49" spans="1:2" x14ac:dyDescent="0.25">
      <c r="A49" s="212"/>
      <c r="B49" s="200"/>
    </row>
    <row r="50" spans="1:2" x14ac:dyDescent="0.25">
      <c r="A50" s="212"/>
      <c r="B50" s="200"/>
    </row>
    <row r="51" spans="1:2" x14ac:dyDescent="0.25">
      <c r="A51" s="212"/>
    </row>
    <row r="52" spans="1:2" x14ac:dyDescent="0.25">
      <c r="A52" s="212"/>
    </row>
    <row r="53" spans="1:2" x14ac:dyDescent="0.25">
      <c r="A53" s="212"/>
    </row>
    <row r="54" spans="1:2" x14ac:dyDescent="0.25">
      <c r="A54" s="212"/>
    </row>
    <row r="55" spans="1:2" x14ac:dyDescent="0.25">
      <c r="A55" s="212"/>
    </row>
    <row r="56" spans="1:2" x14ac:dyDescent="0.25">
      <c r="A56" s="212"/>
    </row>
    <row r="57" spans="1:2" x14ac:dyDescent="0.25">
      <c r="A57" s="212"/>
    </row>
    <row r="58" spans="1:2" x14ac:dyDescent="0.25">
      <c r="A58" s="212"/>
    </row>
    <row r="59" spans="1:2" x14ac:dyDescent="0.25">
      <c r="A59" s="212"/>
    </row>
    <row r="60" spans="1:2" x14ac:dyDescent="0.25">
      <c r="A60" s="212"/>
    </row>
    <row r="61" spans="1:2" x14ac:dyDescent="0.25">
      <c r="A61" s="212"/>
    </row>
    <row r="62" spans="1:2" x14ac:dyDescent="0.25">
      <c r="A62" s="212"/>
    </row>
    <row r="63" spans="1:2" x14ac:dyDescent="0.25">
      <c r="A63" s="212"/>
    </row>
    <row r="64" spans="1:2" x14ac:dyDescent="0.25">
      <c r="A64" s="212"/>
    </row>
    <row r="65" spans="1:1" x14ac:dyDescent="0.25">
      <c r="A65" s="212"/>
    </row>
    <row r="66" spans="1:1" x14ac:dyDescent="0.25">
      <c r="A66" s="212"/>
    </row>
    <row r="67" spans="1:1" x14ac:dyDescent="0.25">
      <c r="A67" s="212"/>
    </row>
    <row r="68" spans="1:1" x14ac:dyDescent="0.25">
      <c r="A68" s="212"/>
    </row>
    <row r="69" spans="1:1" x14ac:dyDescent="0.25">
      <c r="A69" s="212"/>
    </row>
    <row r="70" spans="1:1" x14ac:dyDescent="0.25">
      <c r="A70" s="212"/>
    </row>
    <row r="71" spans="1:1" x14ac:dyDescent="0.25">
      <c r="A71" s="212"/>
    </row>
    <row r="72" spans="1:1" x14ac:dyDescent="0.25">
      <c r="A72" s="212"/>
    </row>
    <row r="73" spans="1:1" x14ac:dyDescent="0.25">
      <c r="A73" s="212"/>
    </row>
    <row r="74" spans="1:1" x14ac:dyDescent="0.25">
      <c r="A74" s="212"/>
    </row>
    <row r="75" spans="1:1" x14ac:dyDescent="0.25">
      <c r="A75" s="212"/>
    </row>
    <row r="76" spans="1:1" x14ac:dyDescent="0.25">
      <c r="A76" s="212"/>
    </row>
    <row r="77" spans="1:1" x14ac:dyDescent="0.25">
      <c r="A77" s="212"/>
    </row>
    <row r="78" spans="1:1" x14ac:dyDescent="0.25">
      <c r="A78" s="212"/>
    </row>
    <row r="79" spans="1:1" x14ac:dyDescent="0.25">
      <c r="A79" s="212"/>
    </row>
    <row r="80" spans="1:1" x14ac:dyDescent="0.25">
      <c r="A80" s="212"/>
    </row>
    <row r="81" spans="1:1" x14ac:dyDescent="0.25">
      <c r="A81" s="212"/>
    </row>
    <row r="82" spans="1:1" x14ac:dyDescent="0.25">
      <c r="A82" s="212"/>
    </row>
    <row r="83" spans="1:1" x14ac:dyDescent="0.25">
      <c r="A83" s="212"/>
    </row>
    <row r="84" spans="1:1" x14ac:dyDescent="0.25">
      <c r="A84" s="212"/>
    </row>
    <row r="85" spans="1:1" x14ac:dyDescent="0.25">
      <c r="A85" s="212"/>
    </row>
    <row r="86" spans="1:1" x14ac:dyDescent="0.25">
      <c r="A86" s="212"/>
    </row>
    <row r="87" spans="1:1" x14ac:dyDescent="0.25">
      <c r="A87" s="212"/>
    </row>
    <row r="88" spans="1:1" x14ac:dyDescent="0.25">
      <c r="A88" s="212"/>
    </row>
    <row r="89" spans="1:1" x14ac:dyDescent="0.25">
      <c r="A89" s="212"/>
    </row>
    <row r="90" spans="1:1" x14ac:dyDescent="0.25">
      <c r="A90" s="212"/>
    </row>
    <row r="91" spans="1:1" x14ac:dyDescent="0.25">
      <c r="A91" s="212"/>
    </row>
    <row r="92" spans="1:1" x14ac:dyDescent="0.25">
      <c r="A92" s="212"/>
    </row>
    <row r="93" spans="1:1" x14ac:dyDescent="0.25">
      <c r="A93" s="212"/>
    </row>
    <row r="94" spans="1:1" x14ac:dyDescent="0.25">
      <c r="A94" s="212"/>
    </row>
    <row r="95" spans="1:1" x14ac:dyDescent="0.25">
      <c r="A95" s="212"/>
    </row>
    <row r="96" spans="1:1" x14ac:dyDescent="0.25">
      <c r="A96" s="212"/>
    </row>
    <row r="97" spans="1:1" x14ac:dyDescent="0.25">
      <c r="A97" s="212"/>
    </row>
    <row r="98" spans="1:1" x14ac:dyDescent="0.25">
      <c r="A98" s="212"/>
    </row>
    <row r="99" spans="1:1" x14ac:dyDescent="0.25">
      <c r="A99" s="212"/>
    </row>
    <row r="100" spans="1:1" x14ac:dyDescent="0.25">
      <c r="A100" s="212"/>
    </row>
    <row r="101" spans="1:1" x14ac:dyDescent="0.25">
      <c r="A101" s="212"/>
    </row>
    <row r="102" spans="1:1" x14ac:dyDescent="0.25">
      <c r="A102" s="212"/>
    </row>
    <row r="103" spans="1:1" x14ac:dyDescent="0.25">
      <c r="A103" s="212"/>
    </row>
    <row r="104" spans="1:1" x14ac:dyDescent="0.25">
      <c r="A104" s="212"/>
    </row>
    <row r="105" spans="1:1" x14ac:dyDescent="0.25">
      <c r="A105" s="212"/>
    </row>
    <row r="106" spans="1:1" x14ac:dyDescent="0.25">
      <c r="A106" s="212"/>
    </row>
    <row r="107" spans="1:1" x14ac:dyDescent="0.25">
      <c r="A107" s="212"/>
    </row>
    <row r="108" spans="1:1" x14ac:dyDescent="0.25">
      <c r="A108" s="212"/>
    </row>
    <row r="109" spans="1:1" x14ac:dyDescent="0.25">
      <c r="A109" s="212"/>
    </row>
    <row r="110" spans="1:1" x14ac:dyDescent="0.25">
      <c r="A110" s="212"/>
    </row>
    <row r="111" spans="1:1" x14ac:dyDescent="0.25">
      <c r="A111" s="212"/>
    </row>
    <row r="112" spans="1:1" x14ac:dyDescent="0.25">
      <c r="A112" s="212"/>
    </row>
    <row r="113" spans="1:1" x14ac:dyDescent="0.25">
      <c r="A113" s="212"/>
    </row>
    <row r="114" spans="1:1" x14ac:dyDescent="0.25">
      <c r="A114" s="212"/>
    </row>
    <row r="115" spans="1:1" x14ac:dyDescent="0.25">
      <c r="A115" s="212"/>
    </row>
    <row r="116" spans="1:1" x14ac:dyDescent="0.25">
      <c r="A116" s="212"/>
    </row>
    <row r="117" spans="1:1" x14ac:dyDescent="0.25">
      <c r="A117" s="212"/>
    </row>
    <row r="118" spans="1:1" x14ac:dyDescent="0.25">
      <c r="A118" s="212"/>
    </row>
    <row r="119" spans="1:1" x14ac:dyDescent="0.25">
      <c r="A119" s="212"/>
    </row>
    <row r="120" spans="1:1" x14ac:dyDescent="0.25">
      <c r="A120" s="212"/>
    </row>
    <row r="121" spans="1:1" x14ac:dyDescent="0.25">
      <c r="A121" s="212"/>
    </row>
    <row r="122" spans="1:1" x14ac:dyDescent="0.25">
      <c r="A122" s="212"/>
    </row>
    <row r="123" spans="1:1" x14ac:dyDescent="0.25">
      <c r="A123" s="212"/>
    </row>
    <row r="124" spans="1:1" x14ac:dyDescent="0.25">
      <c r="A124" s="212"/>
    </row>
    <row r="125" spans="1:1" x14ac:dyDescent="0.25">
      <c r="A125" s="212"/>
    </row>
    <row r="126" spans="1:1" x14ac:dyDescent="0.25">
      <c r="A126" s="212"/>
    </row>
    <row r="127" spans="1:1" x14ac:dyDescent="0.25">
      <c r="A127" s="212"/>
    </row>
    <row r="128" spans="1:1" x14ac:dyDescent="0.25">
      <c r="A128" s="212"/>
    </row>
    <row r="129" spans="1:1" x14ac:dyDescent="0.25">
      <c r="A129" s="212"/>
    </row>
    <row r="130" spans="1:1" x14ac:dyDescent="0.25">
      <c r="A130" s="212"/>
    </row>
    <row r="131" spans="1:1" x14ac:dyDescent="0.25">
      <c r="A131" s="212"/>
    </row>
    <row r="132" spans="1:1" x14ac:dyDescent="0.25">
      <c r="A132" s="212"/>
    </row>
    <row r="133" spans="1:1" x14ac:dyDescent="0.25">
      <c r="A133" s="212"/>
    </row>
    <row r="134" spans="1:1" x14ac:dyDescent="0.25">
      <c r="A134" s="212"/>
    </row>
    <row r="135" spans="1:1" x14ac:dyDescent="0.25">
      <c r="A135" s="212"/>
    </row>
    <row r="136" spans="1:1" x14ac:dyDescent="0.25">
      <c r="A136" s="212"/>
    </row>
    <row r="137" spans="1:1" x14ac:dyDescent="0.25">
      <c r="A137" s="212"/>
    </row>
    <row r="138" spans="1:1" x14ac:dyDescent="0.25">
      <c r="A138" s="212"/>
    </row>
    <row r="139" spans="1:1" x14ac:dyDescent="0.25">
      <c r="A139" s="212"/>
    </row>
    <row r="140" spans="1:1" x14ac:dyDescent="0.25">
      <c r="A140" s="212"/>
    </row>
    <row r="141" spans="1:1" x14ac:dyDescent="0.25">
      <c r="A141" s="212"/>
    </row>
    <row r="142" spans="1:1" x14ac:dyDescent="0.25">
      <c r="A142" s="212"/>
    </row>
    <row r="143" spans="1:1" x14ac:dyDescent="0.25">
      <c r="A143" s="212"/>
    </row>
    <row r="144" spans="1:1" x14ac:dyDescent="0.25">
      <c r="A144" s="212"/>
    </row>
    <row r="145" spans="1:1" x14ac:dyDescent="0.25">
      <c r="A145" s="212"/>
    </row>
    <row r="146" spans="1:1" x14ac:dyDescent="0.25">
      <c r="A146" s="212"/>
    </row>
    <row r="147" spans="1:1" x14ac:dyDescent="0.25">
      <c r="A147" s="212"/>
    </row>
    <row r="148" spans="1:1" x14ac:dyDescent="0.25">
      <c r="A148" s="212"/>
    </row>
    <row r="149" spans="1:1" x14ac:dyDescent="0.25">
      <c r="A149" s="212"/>
    </row>
    <row r="150" spans="1:1" x14ac:dyDescent="0.25">
      <c r="A150" s="212"/>
    </row>
    <row r="151" spans="1:1" x14ac:dyDescent="0.25">
      <c r="A151" s="212"/>
    </row>
    <row r="152" spans="1:1" x14ac:dyDescent="0.25">
      <c r="A152" s="212"/>
    </row>
    <row r="153" spans="1:1" x14ac:dyDescent="0.25">
      <c r="A153" s="212"/>
    </row>
    <row r="154" spans="1:1" x14ac:dyDescent="0.25">
      <c r="A154" s="212"/>
    </row>
    <row r="155" spans="1:1" x14ac:dyDescent="0.25">
      <c r="A155" s="212"/>
    </row>
    <row r="156" spans="1:1" x14ac:dyDescent="0.25">
      <c r="A156" s="212"/>
    </row>
    <row r="157" spans="1:1" x14ac:dyDescent="0.25">
      <c r="A157" s="212"/>
    </row>
    <row r="158" spans="1:1" x14ac:dyDescent="0.25">
      <c r="A158" s="212"/>
    </row>
    <row r="159" spans="1:1" x14ac:dyDescent="0.25">
      <c r="A159" s="212"/>
    </row>
    <row r="160" spans="1:1" x14ac:dyDescent="0.25">
      <c r="A160" s="212"/>
    </row>
    <row r="161" spans="1:1" x14ac:dyDescent="0.25">
      <c r="A161" s="212"/>
    </row>
    <row r="162" spans="1:1" x14ac:dyDescent="0.25">
      <c r="A162" s="212"/>
    </row>
    <row r="163" spans="1:1" x14ac:dyDescent="0.25">
      <c r="A163" s="212"/>
    </row>
    <row r="164" spans="1:1" x14ac:dyDescent="0.25">
      <c r="A164" s="212"/>
    </row>
    <row r="165" spans="1:1" x14ac:dyDescent="0.25">
      <c r="A165" s="212"/>
    </row>
    <row r="166" spans="1:1" x14ac:dyDescent="0.25">
      <c r="A166" s="212"/>
    </row>
    <row r="167" spans="1:1" x14ac:dyDescent="0.25">
      <c r="A167" s="212"/>
    </row>
    <row r="168" spans="1:1" x14ac:dyDescent="0.25">
      <c r="A168" s="212"/>
    </row>
    <row r="169" spans="1:1" x14ac:dyDescent="0.25">
      <c r="A169" s="212"/>
    </row>
    <row r="170" spans="1:1" x14ac:dyDescent="0.25">
      <c r="A170" s="212"/>
    </row>
    <row r="171" spans="1:1" x14ac:dyDescent="0.25">
      <c r="A171" s="212"/>
    </row>
    <row r="172" spans="1:1" x14ac:dyDescent="0.25">
      <c r="A172" s="212"/>
    </row>
    <row r="173" spans="1:1" x14ac:dyDescent="0.25">
      <c r="A173" s="212"/>
    </row>
    <row r="174" spans="1:1" x14ac:dyDescent="0.25">
      <c r="A174" s="212"/>
    </row>
    <row r="175" spans="1:1" x14ac:dyDescent="0.25">
      <c r="A175" s="212"/>
    </row>
    <row r="176" spans="1:1" x14ac:dyDescent="0.25">
      <c r="A176" s="212"/>
    </row>
    <row r="177" spans="1:1" x14ac:dyDescent="0.25">
      <c r="A177" s="212"/>
    </row>
    <row r="178" spans="1:1" x14ac:dyDescent="0.25">
      <c r="A178" s="212"/>
    </row>
    <row r="179" spans="1:1" x14ac:dyDescent="0.25">
      <c r="A179" s="212"/>
    </row>
    <row r="180" spans="1:1" x14ac:dyDescent="0.25">
      <c r="A180" s="212"/>
    </row>
    <row r="181" spans="1:1" x14ac:dyDescent="0.25">
      <c r="A181" s="212"/>
    </row>
    <row r="182" spans="1:1" x14ac:dyDescent="0.25">
      <c r="A182" s="212"/>
    </row>
    <row r="183" spans="1:1" x14ac:dyDescent="0.25">
      <c r="A183" s="212"/>
    </row>
    <row r="184" spans="1:1" x14ac:dyDescent="0.25">
      <c r="A184" s="212"/>
    </row>
    <row r="185" spans="1:1" x14ac:dyDescent="0.25">
      <c r="A185" s="212"/>
    </row>
    <row r="186" spans="1:1" x14ac:dyDescent="0.25">
      <c r="A186" s="212"/>
    </row>
    <row r="187" spans="1:1" x14ac:dyDescent="0.25">
      <c r="A187" s="212"/>
    </row>
    <row r="188" spans="1:1" x14ac:dyDescent="0.25">
      <c r="A188" s="212"/>
    </row>
    <row r="189" spans="1:1" x14ac:dyDescent="0.25">
      <c r="A189" s="212"/>
    </row>
    <row r="190" spans="1:1" x14ac:dyDescent="0.25">
      <c r="A190" s="212"/>
    </row>
    <row r="191" spans="1:1" x14ac:dyDescent="0.25">
      <c r="A191" s="212"/>
    </row>
    <row r="192" spans="1:1" x14ac:dyDescent="0.25">
      <c r="A192" s="212"/>
    </row>
    <row r="193" spans="1:1" x14ac:dyDescent="0.25">
      <c r="A193" s="212"/>
    </row>
    <row r="194" spans="1:1" x14ac:dyDescent="0.25">
      <c r="A194" s="212"/>
    </row>
    <row r="195" spans="1:1" x14ac:dyDescent="0.25">
      <c r="A195" s="212"/>
    </row>
    <row r="196" spans="1:1" x14ac:dyDescent="0.25">
      <c r="A196" s="212"/>
    </row>
    <row r="197" spans="1:1" x14ac:dyDescent="0.25">
      <c r="A197" s="212"/>
    </row>
    <row r="198" spans="1:1" x14ac:dyDescent="0.25">
      <c r="A198" s="212"/>
    </row>
    <row r="199" spans="1:1" x14ac:dyDescent="0.25">
      <c r="A199" s="212"/>
    </row>
    <row r="200" spans="1:1" x14ac:dyDescent="0.25">
      <c r="A200" s="212"/>
    </row>
    <row r="201" spans="1:1" x14ac:dyDescent="0.25">
      <c r="A201" s="212"/>
    </row>
    <row r="202" spans="1:1" x14ac:dyDescent="0.25">
      <c r="A202" s="212"/>
    </row>
    <row r="203" spans="1:1" x14ac:dyDescent="0.25">
      <c r="A203" s="212"/>
    </row>
    <row r="204" spans="1:1" x14ac:dyDescent="0.25">
      <c r="A204" s="212"/>
    </row>
    <row r="205" spans="1:1" x14ac:dyDescent="0.25">
      <c r="A205" s="212"/>
    </row>
    <row r="206" spans="1:1" x14ac:dyDescent="0.25">
      <c r="A206" s="212"/>
    </row>
    <row r="207" spans="1:1" x14ac:dyDescent="0.25">
      <c r="A207" s="212"/>
    </row>
    <row r="208" spans="1:1" x14ac:dyDescent="0.25">
      <c r="A208" s="212"/>
    </row>
    <row r="209" spans="1:1" x14ac:dyDescent="0.25">
      <c r="A209" s="212"/>
    </row>
    <row r="210" spans="1:1" x14ac:dyDescent="0.25">
      <c r="A210" s="212"/>
    </row>
    <row r="211" spans="1:1" x14ac:dyDescent="0.25">
      <c r="A211" s="212"/>
    </row>
    <row r="212" spans="1:1" x14ac:dyDescent="0.25">
      <c r="A212" s="212"/>
    </row>
    <row r="213" spans="1:1" x14ac:dyDescent="0.25">
      <c r="A213" s="212"/>
    </row>
    <row r="214" spans="1:1" x14ac:dyDescent="0.25">
      <c r="A214" s="212"/>
    </row>
    <row r="215" spans="1:1" x14ac:dyDescent="0.25">
      <c r="A215" s="212"/>
    </row>
    <row r="216" spans="1:1" x14ac:dyDescent="0.25">
      <c r="A216" s="212"/>
    </row>
    <row r="217" spans="1:1" x14ac:dyDescent="0.25">
      <c r="A217" s="212"/>
    </row>
    <row r="218" spans="1:1" x14ac:dyDescent="0.25">
      <c r="A218" s="212"/>
    </row>
    <row r="219" spans="1:1" x14ac:dyDescent="0.25">
      <c r="A219" s="212"/>
    </row>
    <row r="220" spans="1:1" x14ac:dyDescent="0.25">
      <c r="A220" s="212"/>
    </row>
    <row r="221" spans="1:1" x14ac:dyDescent="0.25">
      <c r="A221" s="212"/>
    </row>
    <row r="222" spans="1:1" x14ac:dyDescent="0.25">
      <c r="A222" s="212"/>
    </row>
    <row r="223" spans="1:1" x14ac:dyDescent="0.25">
      <c r="A223" s="212"/>
    </row>
    <row r="224" spans="1:1" x14ac:dyDescent="0.25">
      <c r="A224" s="212"/>
    </row>
    <row r="225" spans="1:1" x14ac:dyDescent="0.25">
      <c r="A225" s="212"/>
    </row>
    <row r="226" spans="1:1" x14ac:dyDescent="0.25">
      <c r="A226" s="212"/>
    </row>
    <row r="227" spans="1:1" x14ac:dyDescent="0.25">
      <c r="A227" s="212"/>
    </row>
    <row r="228" spans="1:1" x14ac:dyDescent="0.25">
      <c r="A228" s="212"/>
    </row>
    <row r="229" spans="1:1" x14ac:dyDescent="0.25">
      <c r="A229" s="212"/>
    </row>
    <row r="230" spans="1:1" x14ac:dyDescent="0.25">
      <c r="A230" s="212"/>
    </row>
    <row r="231" spans="1:1" x14ac:dyDescent="0.25">
      <c r="A231" s="212"/>
    </row>
    <row r="232" spans="1:1" x14ac:dyDescent="0.25">
      <c r="A232" s="212"/>
    </row>
    <row r="233" spans="1:1" x14ac:dyDescent="0.25">
      <c r="A233" s="212"/>
    </row>
    <row r="234" spans="1:1" x14ac:dyDescent="0.25">
      <c r="A234" s="212"/>
    </row>
    <row r="235" spans="1:1" x14ac:dyDescent="0.25">
      <c r="A235" s="212"/>
    </row>
    <row r="236" spans="1:1" x14ac:dyDescent="0.25">
      <c r="A236" s="212"/>
    </row>
    <row r="237" spans="1:1" x14ac:dyDescent="0.25">
      <c r="A237" s="212"/>
    </row>
    <row r="238" spans="1:1" x14ac:dyDescent="0.25">
      <c r="A238" s="212"/>
    </row>
    <row r="239" spans="1:1" x14ac:dyDescent="0.25">
      <c r="A239" s="212"/>
    </row>
    <row r="240" spans="1:1" x14ac:dyDescent="0.25">
      <c r="A240" s="212"/>
    </row>
    <row r="241" spans="1:1" x14ac:dyDescent="0.25">
      <c r="A241" s="212"/>
    </row>
    <row r="242" spans="1:1" x14ac:dyDescent="0.25">
      <c r="A242" s="212"/>
    </row>
    <row r="243" spans="1:1" x14ac:dyDescent="0.25">
      <c r="A243" s="212"/>
    </row>
    <row r="244" spans="1:1" x14ac:dyDescent="0.25">
      <c r="A244" s="212"/>
    </row>
    <row r="245" spans="1:1" x14ac:dyDescent="0.25">
      <c r="A245" s="212"/>
    </row>
    <row r="246" spans="1:1" x14ac:dyDescent="0.25">
      <c r="A246" s="212"/>
    </row>
    <row r="247" spans="1:1" x14ac:dyDescent="0.25">
      <c r="A247" s="212"/>
    </row>
    <row r="248" spans="1:1" x14ac:dyDescent="0.25">
      <c r="A248" s="212"/>
    </row>
    <row r="249" spans="1:1" x14ac:dyDescent="0.25">
      <c r="A249" s="212"/>
    </row>
    <row r="250" spans="1:1" x14ac:dyDescent="0.25">
      <c r="A250" s="212"/>
    </row>
    <row r="251" spans="1:1" x14ac:dyDescent="0.25">
      <c r="A251" s="212"/>
    </row>
    <row r="252" spans="1:1" x14ac:dyDescent="0.25">
      <c r="A252" s="212"/>
    </row>
    <row r="253" spans="1:1" x14ac:dyDescent="0.25">
      <c r="A253" s="212"/>
    </row>
    <row r="254" spans="1:1" x14ac:dyDescent="0.25">
      <c r="A254" s="212"/>
    </row>
    <row r="255" spans="1:1" x14ac:dyDescent="0.25">
      <c r="A255" s="212"/>
    </row>
    <row r="256" spans="1:1" x14ac:dyDescent="0.25">
      <c r="A256" s="212"/>
    </row>
    <row r="257" spans="1:1" x14ac:dyDescent="0.25">
      <c r="A257" s="212"/>
    </row>
    <row r="258" spans="1:1" x14ac:dyDescent="0.25">
      <c r="A258" s="212"/>
    </row>
    <row r="259" spans="1:1" x14ac:dyDescent="0.25">
      <c r="A259" s="212"/>
    </row>
    <row r="260" spans="1:1" x14ac:dyDescent="0.25">
      <c r="A260" s="212"/>
    </row>
    <row r="261" spans="1:1" x14ac:dyDescent="0.25">
      <c r="A261" s="212"/>
    </row>
    <row r="262" spans="1:1" x14ac:dyDescent="0.25">
      <c r="A262" s="212"/>
    </row>
    <row r="263" spans="1:1" x14ac:dyDescent="0.25">
      <c r="A263" s="212"/>
    </row>
    <row r="264" spans="1:1" x14ac:dyDescent="0.25">
      <c r="A264" s="212"/>
    </row>
    <row r="265" spans="1:1" x14ac:dyDescent="0.25">
      <c r="A265" s="212"/>
    </row>
    <row r="266" spans="1:1" x14ac:dyDescent="0.25">
      <c r="A266" s="212"/>
    </row>
    <row r="267" spans="1:1" x14ac:dyDescent="0.25">
      <c r="A267" s="212"/>
    </row>
    <row r="268" spans="1:1" x14ac:dyDescent="0.25">
      <c r="A268" s="212"/>
    </row>
    <row r="269" spans="1:1" x14ac:dyDescent="0.25">
      <c r="A269" s="212"/>
    </row>
    <row r="270" spans="1:1" x14ac:dyDescent="0.25">
      <c r="A270" s="212"/>
    </row>
    <row r="271" spans="1:1" x14ac:dyDescent="0.25">
      <c r="A271" s="212"/>
    </row>
    <row r="272" spans="1:1" x14ac:dyDescent="0.25">
      <c r="A272" s="212"/>
    </row>
    <row r="273" spans="1:1" x14ac:dyDescent="0.25">
      <c r="A273" s="212"/>
    </row>
    <row r="274" spans="1:1" x14ac:dyDescent="0.25">
      <c r="A274" s="212"/>
    </row>
    <row r="275" spans="1:1" x14ac:dyDescent="0.25">
      <c r="A275" s="212"/>
    </row>
    <row r="276" spans="1:1" x14ac:dyDescent="0.25">
      <c r="A276" s="212"/>
    </row>
    <row r="277" spans="1:1" x14ac:dyDescent="0.25">
      <c r="A277" s="212"/>
    </row>
    <row r="278" spans="1:1" x14ac:dyDescent="0.25">
      <c r="A278" s="212"/>
    </row>
    <row r="279" spans="1:1" x14ac:dyDescent="0.25">
      <c r="A279" s="212"/>
    </row>
    <row r="280" spans="1:1" x14ac:dyDescent="0.25">
      <c r="A280" s="212"/>
    </row>
    <row r="281" spans="1:1" x14ac:dyDescent="0.25">
      <c r="A281" s="212"/>
    </row>
    <row r="282" spans="1:1" x14ac:dyDescent="0.25">
      <c r="A282" s="212"/>
    </row>
    <row r="283" spans="1:1" x14ac:dyDescent="0.25">
      <c r="A283" s="212"/>
    </row>
    <row r="284" spans="1:1" x14ac:dyDescent="0.25">
      <c r="A284" s="212"/>
    </row>
    <row r="285" spans="1:1" x14ac:dyDescent="0.25">
      <c r="A285" s="212"/>
    </row>
    <row r="286" spans="1:1" x14ac:dyDescent="0.25">
      <c r="A286" s="212"/>
    </row>
    <row r="287" spans="1:1" x14ac:dyDescent="0.25">
      <c r="A287" s="212"/>
    </row>
    <row r="288" spans="1:1" x14ac:dyDescent="0.25">
      <c r="A288" s="212"/>
    </row>
    <row r="289" spans="1:1" x14ac:dyDescent="0.25">
      <c r="A289" s="212"/>
    </row>
    <row r="290" spans="1:1" x14ac:dyDescent="0.25">
      <c r="A290" s="212"/>
    </row>
    <row r="291" spans="1:1" x14ac:dyDescent="0.25">
      <c r="A291" s="212"/>
    </row>
    <row r="292" spans="1:1" x14ac:dyDescent="0.25">
      <c r="A292" s="212"/>
    </row>
    <row r="293" spans="1:1" x14ac:dyDescent="0.25">
      <c r="A293" s="212"/>
    </row>
    <row r="294" spans="1:1" x14ac:dyDescent="0.25">
      <c r="A294" s="212"/>
    </row>
    <row r="295" spans="1:1" x14ac:dyDescent="0.25">
      <c r="A295" s="212"/>
    </row>
    <row r="296" spans="1:1" x14ac:dyDescent="0.25">
      <c r="A296" s="212"/>
    </row>
    <row r="297" spans="1:1" x14ac:dyDescent="0.25">
      <c r="A297" s="212"/>
    </row>
    <row r="298" spans="1:1" x14ac:dyDescent="0.25">
      <c r="A298" s="212"/>
    </row>
    <row r="299" spans="1:1" x14ac:dyDescent="0.25">
      <c r="A299" s="212"/>
    </row>
    <row r="300" spans="1:1" x14ac:dyDescent="0.25">
      <c r="A300" s="212"/>
    </row>
    <row r="301" spans="1:1" x14ac:dyDescent="0.25">
      <c r="A301" s="212"/>
    </row>
    <row r="302" spans="1:1" x14ac:dyDescent="0.25">
      <c r="A302" s="212"/>
    </row>
    <row r="303" spans="1:1" x14ac:dyDescent="0.25">
      <c r="A303" s="212"/>
    </row>
    <row r="304" spans="1:1" x14ac:dyDescent="0.25">
      <c r="A304" s="212"/>
    </row>
    <row r="305" spans="1:1" x14ac:dyDescent="0.25">
      <c r="A305" s="212"/>
    </row>
    <row r="306" spans="1:1" x14ac:dyDescent="0.25">
      <c r="A306" s="212"/>
    </row>
    <row r="307" spans="1:1" x14ac:dyDescent="0.25">
      <c r="A307" s="212"/>
    </row>
    <row r="308" spans="1:1" x14ac:dyDescent="0.25">
      <c r="A308" s="212"/>
    </row>
    <row r="309" spans="1:1" x14ac:dyDescent="0.25">
      <c r="A309" s="212"/>
    </row>
    <row r="310" spans="1:1" x14ac:dyDescent="0.25">
      <c r="A310" s="212"/>
    </row>
    <row r="311" spans="1:1" x14ac:dyDescent="0.25">
      <c r="A311" s="212"/>
    </row>
    <row r="312" spans="1:1" x14ac:dyDescent="0.25">
      <c r="A312" s="212"/>
    </row>
    <row r="313" spans="1:1" x14ac:dyDescent="0.25">
      <c r="A313" s="212"/>
    </row>
    <row r="314" spans="1:1" x14ac:dyDescent="0.25">
      <c r="A314" s="212"/>
    </row>
    <row r="315" spans="1:1" x14ac:dyDescent="0.25">
      <c r="A315" s="212"/>
    </row>
    <row r="316" spans="1:1" x14ac:dyDescent="0.25">
      <c r="A316" s="212"/>
    </row>
    <row r="317" spans="1:1" x14ac:dyDescent="0.25">
      <c r="A317" s="212"/>
    </row>
    <row r="318" spans="1:1" x14ac:dyDescent="0.25">
      <c r="A318" s="212"/>
    </row>
    <row r="319" spans="1:1" x14ac:dyDescent="0.25">
      <c r="A319" s="212"/>
    </row>
    <row r="320" spans="1:1" x14ac:dyDescent="0.25">
      <c r="A320" s="212"/>
    </row>
    <row r="321" spans="1:1" x14ac:dyDescent="0.25">
      <c r="A321" s="212"/>
    </row>
    <row r="322" spans="1:1" x14ac:dyDescent="0.25">
      <c r="A322" s="212"/>
    </row>
    <row r="323" spans="1:1" x14ac:dyDescent="0.25">
      <c r="A323" s="212"/>
    </row>
    <row r="324" spans="1:1" x14ac:dyDescent="0.25">
      <c r="A324" s="212"/>
    </row>
    <row r="325" spans="1:1" x14ac:dyDescent="0.25">
      <c r="A325" s="212"/>
    </row>
    <row r="326" spans="1:1" x14ac:dyDescent="0.25">
      <c r="A326" s="212"/>
    </row>
    <row r="327" spans="1:1" x14ac:dyDescent="0.25">
      <c r="A327" s="212"/>
    </row>
    <row r="328" spans="1:1" x14ac:dyDescent="0.25">
      <c r="A328" s="212"/>
    </row>
    <row r="329" spans="1:1" x14ac:dyDescent="0.25">
      <c r="A329" s="212"/>
    </row>
    <row r="330" spans="1:1" x14ac:dyDescent="0.25">
      <c r="A330" s="212"/>
    </row>
    <row r="331" spans="1:1" x14ac:dyDescent="0.25">
      <c r="A331" s="212"/>
    </row>
    <row r="332" spans="1:1" x14ac:dyDescent="0.25">
      <c r="A332" s="212"/>
    </row>
    <row r="333" spans="1:1" x14ac:dyDescent="0.25">
      <c r="A333" s="212"/>
    </row>
    <row r="334" spans="1:1" x14ac:dyDescent="0.25">
      <c r="A334" s="212"/>
    </row>
    <row r="335" spans="1:1" x14ac:dyDescent="0.25">
      <c r="A335" s="212"/>
    </row>
    <row r="336" spans="1:1" x14ac:dyDescent="0.25">
      <c r="A336" s="212"/>
    </row>
    <row r="337" spans="1:1" x14ac:dyDescent="0.25">
      <c r="A337" s="212"/>
    </row>
    <row r="338" spans="1:1" x14ac:dyDescent="0.25">
      <c r="A338" s="212"/>
    </row>
    <row r="339" spans="1:1" x14ac:dyDescent="0.25">
      <c r="A339" s="212"/>
    </row>
    <row r="340" spans="1:1" x14ac:dyDescent="0.25">
      <c r="A340" s="212"/>
    </row>
    <row r="341" spans="1:1" x14ac:dyDescent="0.25">
      <c r="A341" s="212"/>
    </row>
    <row r="342" spans="1:1" x14ac:dyDescent="0.25">
      <c r="A342" s="212"/>
    </row>
    <row r="343" spans="1:1" x14ac:dyDescent="0.25">
      <c r="A343" s="212"/>
    </row>
    <row r="344" spans="1:1" x14ac:dyDescent="0.25">
      <c r="A344" s="212"/>
    </row>
    <row r="345" spans="1:1" x14ac:dyDescent="0.25">
      <c r="A345" s="212"/>
    </row>
    <row r="346" spans="1:1" x14ac:dyDescent="0.25">
      <c r="A346" s="212"/>
    </row>
    <row r="347" spans="1:1" x14ac:dyDescent="0.25">
      <c r="A347" s="212"/>
    </row>
    <row r="348" spans="1:1" x14ac:dyDescent="0.25">
      <c r="A348" s="212"/>
    </row>
    <row r="349" spans="1:1" x14ac:dyDescent="0.25">
      <c r="A349" s="212"/>
    </row>
    <row r="350" spans="1:1" x14ac:dyDescent="0.25">
      <c r="A350" s="212"/>
    </row>
    <row r="351" spans="1:1" x14ac:dyDescent="0.25">
      <c r="A351" s="212"/>
    </row>
    <row r="352" spans="1:1" x14ac:dyDescent="0.25">
      <c r="A352" s="212"/>
    </row>
    <row r="353" spans="1:1" x14ac:dyDescent="0.25">
      <c r="A353" s="212"/>
    </row>
    <row r="354" spans="1:1" x14ac:dyDescent="0.25">
      <c r="A354" s="212"/>
    </row>
    <row r="355" spans="1:1" x14ac:dyDescent="0.25">
      <c r="A355" s="212"/>
    </row>
    <row r="356" spans="1:1" x14ac:dyDescent="0.25">
      <c r="A356" s="212"/>
    </row>
    <row r="357" spans="1:1" x14ac:dyDescent="0.25">
      <c r="A357" s="212"/>
    </row>
    <row r="358" spans="1:1" x14ac:dyDescent="0.25">
      <c r="A358" s="212"/>
    </row>
    <row r="359" spans="1:1" x14ac:dyDescent="0.25">
      <c r="A359" s="212"/>
    </row>
    <row r="360" spans="1:1" x14ac:dyDescent="0.25">
      <c r="A360" s="212"/>
    </row>
    <row r="361" spans="1:1" x14ac:dyDescent="0.25">
      <c r="A361" s="212"/>
    </row>
    <row r="362" spans="1:1" x14ac:dyDescent="0.25">
      <c r="A362" s="212"/>
    </row>
    <row r="363" spans="1:1" x14ac:dyDescent="0.25">
      <c r="A363" s="212"/>
    </row>
    <row r="364" spans="1:1" x14ac:dyDescent="0.25">
      <c r="A364" s="212"/>
    </row>
    <row r="365" spans="1:1" x14ac:dyDescent="0.25">
      <c r="A365" s="212"/>
    </row>
    <row r="366" spans="1:1" x14ac:dyDescent="0.25">
      <c r="A366" s="212"/>
    </row>
    <row r="367" spans="1:1" x14ac:dyDescent="0.25">
      <c r="A367" s="212"/>
    </row>
    <row r="368" spans="1:1" x14ac:dyDescent="0.25">
      <c r="A368" s="212"/>
    </row>
    <row r="369" spans="1:1" x14ac:dyDescent="0.25">
      <c r="A369" s="212"/>
    </row>
    <row r="370" spans="1:1" x14ac:dyDescent="0.25">
      <c r="A370" s="212"/>
    </row>
    <row r="371" spans="1:1" x14ac:dyDescent="0.25">
      <c r="A371" s="212"/>
    </row>
  </sheetData>
  <dataValidations count="2">
    <dataValidation type="list" allowBlank="1" showInputMessage="1" showErrorMessage="1" sqref="B51:B1048576" xr:uid="{C3CB66CE-5B2B-45B7-9301-A8F1A7CB3F02}">
      <formula1>"Book, Dataset, Extension or Technical Bulletin, Journal Article, Journal Article or Report In-Prep, Map or Interactive Mapper, Report, Thesis/Dissertation, Tool, Web-page or Storyboard, Other (provide additional detail in comments),"</formula1>
    </dataValidation>
    <dataValidation type="list" allowBlank="1" showInputMessage="1" showErrorMessage="1" sqref="B2:B50" xr:uid="{E32ECB98-6E98-45DB-8DA0-30A2DCCA5295}">
      <formula1>"Journal Article,  Report, Dataset,"</formula1>
    </dataValidation>
  </dataValidations>
  <hyperlinks>
    <hyperlink ref="D2" r:id="rId1" xr:uid="{555773C1-AC3D-448B-BAB8-024AB858AF80}"/>
    <hyperlink ref="D17" r:id="rId2" xr:uid="{3E1036C7-9FC4-4A26-8A6C-3F9F994C86C6}"/>
    <hyperlink ref="D18" r:id="rId3" xr:uid="{B65BBC40-E478-44EA-AE83-1BE508A49B22}"/>
    <hyperlink ref="D19" r:id="rId4" xr:uid="{98FD95B8-8CEA-4D4F-82C1-2BDD3CF244B9}"/>
    <hyperlink ref="D20" r:id="rId5" xr:uid="{894EAA91-149D-4C98-ACB0-61EE11A36064}"/>
    <hyperlink ref="D21" r:id="rId6" xr:uid="{297932B2-5650-4924-B238-0B55CA2E5FA9}"/>
    <hyperlink ref="D22" r:id="rId7" xr:uid="{93E1B3F2-BE78-421C-BE54-14F6873CD257}"/>
    <hyperlink ref="D23" r:id="rId8" xr:uid="{B2F80D72-0F25-4042-ABAB-476A4EDC5F7B}"/>
  </hyperlinks>
  <pageMargins left="0.7" right="0.7" top="0.75" bottom="0.75" header="0.3" footer="0.3"/>
  <pageSetup orientation="portrait" r:id="rId9"/>
  <legacyDrawing r:id="rId1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754C-6C63-4A9B-B3F7-7388D96F5A84}">
  <sheetPr>
    <tabColor rgb="FFFF0000"/>
  </sheetPr>
  <dimension ref="A1:X385"/>
  <sheetViews>
    <sheetView workbookViewId="0">
      <selection activeCell="B8" sqref="B8"/>
    </sheetView>
  </sheetViews>
  <sheetFormatPr defaultColWidth="9.140625" defaultRowHeight="15" x14ac:dyDescent="0.25"/>
  <cols>
    <col min="1" max="1" width="17.42578125" style="4" customWidth="1"/>
    <col min="2" max="2" width="25.140625" style="5" customWidth="1"/>
    <col min="3" max="3" width="75.28515625" style="50" customWidth="1"/>
    <col min="4" max="4" width="50.140625" style="141" customWidth="1"/>
    <col min="5" max="5" width="46.85546875" style="2" customWidth="1"/>
    <col min="6" max="6" width="20.42578125" style="2" customWidth="1"/>
    <col min="7" max="7" width="33.42578125" style="7" customWidth="1"/>
    <col min="8" max="8" width="33.42578125" style="59" customWidth="1"/>
    <col min="9" max="9" width="18.42578125" style="18" customWidth="1"/>
    <col min="10" max="16384" width="9.140625" style="3"/>
  </cols>
  <sheetData>
    <row r="1" spans="1:24" s="55" customFormat="1" ht="75" customHeight="1" thickBot="1" x14ac:dyDescent="0.3">
      <c r="A1" s="72" t="s">
        <v>364</v>
      </c>
      <c r="B1" s="127" t="s">
        <v>379</v>
      </c>
      <c r="C1" s="128" t="s">
        <v>380</v>
      </c>
      <c r="D1" s="139" t="s">
        <v>381</v>
      </c>
      <c r="E1" s="131" t="s">
        <v>382</v>
      </c>
      <c r="F1" s="129" t="s">
        <v>372</v>
      </c>
      <c r="G1" s="132" t="s">
        <v>374</v>
      </c>
      <c r="H1" s="130" t="s">
        <v>373</v>
      </c>
      <c r="I1" s="66" t="s">
        <v>368</v>
      </c>
    </row>
    <row r="2" spans="1:24" ht="45" x14ac:dyDescent="0.25">
      <c r="A2" s="182" t="s">
        <v>253</v>
      </c>
      <c r="B2" s="200" t="s">
        <v>383</v>
      </c>
      <c r="C2" s="201" t="s">
        <v>571</v>
      </c>
      <c r="D2" s="215" t="s">
        <v>572</v>
      </c>
      <c r="E2" s="184"/>
      <c r="F2" s="304">
        <v>2018</v>
      </c>
      <c r="G2" s="305">
        <v>1</v>
      </c>
      <c r="H2" s="203">
        <v>0</v>
      </c>
      <c r="I2" s="204"/>
      <c r="J2" s="210"/>
      <c r="K2" s="210"/>
      <c r="L2" s="210"/>
      <c r="M2" s="210"/>
      <c r="N2" s="210"/>
      <c r="O2" s="210"/>
      <c r="P2" s="210"/>
      <c r="Q2" s="210"/>
      <c r="R2" s="210"/>
      <c r="S2" s="210"/>
      <c r="T2" s="210"/>
      <c r="U2" s="210"/>
      <c r="V2" s="69"/>
      <c r="W2" s="69"/>
      <c r="X2" s="69"/>
    </row>
    <row r="3" spans="1:24" ht="30" x14ac:dyDescent="0.25">
      <c r="A3" s="182" t="s">
        <v>248</v>
      </c>
      <c r="B3" s="200" t="s">
        <v>570</v>
      </c>
      <c r="C3" s="207" t="s">
        <v>531</v>
      </c>
      <c r="D3" s="216" t="s">
        <v>378</v>
      </c>
      <c r="E3" s="184"/>
      <c r="F3" s="304">
        <v>2018</v>
      </c>
      <c r="G3" s="305">
        <v>1</v>
      </c>
      <c r="H3" s="203">
        <v>0</v>
      </c>
      <c r="I3" s="204"/>
      <c r="J3" s="210"/>
      <c r="K3" s="210"/>
      <c r="L3" s="210"/>
      <c r="M3" s="210"/>
      <c r="N3" s="210"/>
      <c r="O3" s="210"/>
      <c r="P3" s="210"/>
      <c r="Q3" s="210"/>
      <c r="R3" s="210"/>
      <c r="S3" s="210"/>
      <c r="T3" s="210"/>
      <c r="U3" s="210"/>
      <c r="V3" s="69"/>
      <c r="W3" s="69"/>
      <c r="X3" s="69"/>
    </row>
    <row r="4" spans="1:24" ht="45" x14ac:dyDescent="0.25">
      <c r="A4" s="182" t="s">
        <v>233</v>
      </c>
      <c r="B4" s="200" t="s">
        <v>383</v>
      </c>
      <c r="C4" s="201" t="s">
        <v>573</v>
      </c>
      <c r="D4" s="215" t="s">
        <v>574</v>
      </c>
      <c r="E4" s="184"/>
      <c r="F4" s="304">
        <v>2018</v>
      </c>
      <c r="G4" s="305">
        <v>1</v>
      </c>
      <c r="H4" s="203">
        <v>0</v>
      </c>
      <c r="I4" s="204"/>
      <c r="J4" s="210"/>
      <c r="K4" s="210"/>
      <c r="L4" s="210"/>
      <c r="M4" s="210"/>
      <c r="N4" s="210"/>
      <c r="O4" s="210"/>
      <c r="P4" s="210"/>
      <c r="Q4" s="210"/>
      <c r="R4" s="210"/>
      <c r="S4" s="210"/>
      <c r="T4" s="210"/>
      <c r="U4" s="210"/>
      <c r="V4" s="69"/>
      <c r="W4" s="69"/>
      <c r="X4" s="69"/>
    </row>
    <row r="5" spans="1:24" s="65" customFormat="1" ht="45" x14ac:dyDescent="0.25">
      <c r="A5" s="295" t="s">
        <v>253</v>
      </c>
      <c r="B5" s="200" t="s">
        <v>383</v>
      </c>
      <c r="C5" s="306" t="s">
        <v>575</v>
      </c>
      <c r="D5" s="217" t="s">
        <v>576</v>
      </c>
      <c r="E5" s="184"/>
      <c r="F5" s="296">
        <v>2020</v>
      </c>
      <c r="G5" s="308">
        <v>1</v>
      </c>
      <c r="H5" s="309">
        <v>0</v>
      </c>
      <c r="I5" s="297"/>
      <c r="J5" s="298"/>
      <c r="K5" s="298"/>
      <c r="L5" s="298"/>
      <c r="M5" s="298"/>
      <c r="N5" s="298"/>
      <c r="O5" s="298"/>
      <c r="P5" s="298"/>
      <c r="Q5" s="298"/>
      <c r="R5" s="298"/>
      <c r="S5" s="298"/>
      <c r="T5" s="298"/>
      <c r="U5" s="298"/>
      <c r="V5" s="68"/>
      <c r="W5" s="68"/>
      <c r="X5" s="68"/>
    </row>
    <row r="6" spans="1:24" s="63" customFormat="1" ht="30" x14ac:dyDescent="0.25">
      <c r="A6" s="300" t="s">
        <v>243</v>
      </c>
      <c r="B6" s="200" t="s">
        <v>383</v>
      </c>
      <c r="C6" s="307" t="s">
        <v>577</v>
      </c>
      <c r="D6" s="217" t="s">
        <v>578</v>
      </c>
      <c r="E6" s="184"/>
      <c r="F6" s="202">
        <v>2019</v>
      </c>
      <c r="G6" s="305">
        <v>1</v>
      </c>
      <c r="H6" s="203">
        <v>0</v>
      </c>
      <c r="I6" s="204"/>
      <c r="J6" s="210"/>
      <c r="K6" s="210"/>
      <c r="L6" s="210"/>
      <c r="M6" s="210"/>
      <c r="N6" s="210"/>
      <c r="O6" s="210"/>
      <c r="P6" s="210"/>
      <c r="Q6" s="210"/>
      <c r="R6" s="210"/>
      <c r="S6" s="210"/>
      <c r="T6" s="210"/>
      <c r="U6" s="210"/>
      <c r="V6" s="69"/>
      <c r="W6" s="69"/>
      <c r="X6" s="69"/>
    </row>
    <row r="7" spans="1:24" ht="45" x14ac:dyDescent="0.25">
      <c r="A7" s="188" t="s">
        <v>559</v>
      </c>
      <c r="B7" s="200" t="s">
        <v>383</v>
      </c>
      <c r="C7" s="378" t="s">
        <v>585</v>
      </c>
      <c r="D7" s="143" t="s">
        <v>586</v>
      </c>
      <c r="E7" s="184"/>
      <c r="F7" s="304">
        <v>2016</v>
      </c>
      <c r="G7" s="310">
        <v>1</v>
      </c>
      <c r="H7" s="311">
        <v>0</v>
      </c>
      <c r="I7" s="312"/>
      <c r="J7" s="190"/>
      <c r="K7" s="190"/>
      <c r="L7" s="190"/>
      <c r="M7" s="190"/>
      <c r="N7" s="190"/>
      <c r="O7" s="190"/>
      <c r="P7" s="190"/>
      <c r="Q7" s="190"/>
      <c r="R7" s="190"/>
      <c r="S7" s="190"/>
      <c r="T7" s="190"/>
      <c r="U7" s="190"/>
    </row>
    <row r="8" spans="1:24" x14ac:dyDescent="0.25">
      <c r="A8" s="188"/>
      <c r="B8" s="200"/>
      <c r="C8" s="186"/>
      <c r="D8" s="144"/>
      <c r="E8" s="184"/>
      <c r="F8" s="304"/>
      <c r="G8" s="310"/>
      <c r="H8" s="311"/>
      <c r="I8" s="145"/>
      <c r="J8" s="190"/>
      <c r="K8" s="190"/>
      <c r="L8" s="190"/>
      <c r="M8" s="190"/>
      <c r="N8" s="190"/>
      <c r="O8" s="190"/>
      <c r="P8" s="190"/>
      <c r="Q8" s="190"/>
      <c r="R8" s="190"/>
      <c r="S8" s="190"/>
      <c r="T8" s="190"/>
      <c r="U8" s="190"/>
    </row>
    <row r="9" spans="1:24" x14ac:dyDescent="0.25">
      <c r="A9" s="188"/>
      <c r="B9" s="200"/>
      <c r="C9" s="186"/>
      <c r="D9" s="144"/>
      <c r="E9" s="184"/>
      <c r="F9" s="304"/>
      <c r="G9" s="313"/>
      <c r="H9" s="311"/>
      <c r="I9" s="146"/>
      <c r="J9" s="210"/>
      <c r="K9" s="210"/>
      <c r="L9" s="210"/>
      <c r="M9" s="210"/>
      <c r="N9" s="210"/>
      <c r="O9" s="210"/>
      <c r="P9" s="210"/>
      <c r="Q9" s="210"/>
      <c r="R9" s="210"/>
      <c r="S9" s="210"/>
      <c r="T9" s="210"/>
      <c r="U9" s="210"/>
      <c r="V9" s="69"/>
      <c r="W9" s="69"/>
      <c r="X9" s="69"/>
    </row>
    <row r="10" spans="1:24" x14ac:dyDescent="0.25">
      <c r="A10" s="188"/>
      <c r="B10" s="200"/>
      <c r="C10" s="186"/>
      <c r="D10" s="144"/>
      <c r="E10" s="184"/>
      <c r="F10" s="304"/>
      <c r="G10" s="313"/>
      <c r="H10" s="311"/>
      <c r="I10" s="146"/>
      <c r="J10" s="210"/>
      <c r="K10" s="210"/>
      <c r="L10" s="210"/>
      <c r="M10" s="210"/>
      <c r="N10" s="210"/>
      <c r="O10" s="210"/>
      <c r="P10" s="210"/>
      <c r="Q10" s="210"/>
      <c r="R10" s="210"/>
      <c r="S10" s="210"/>
      <c r="T10" s="210"/>
      <c r="U10" s="210"/>
      <c r="V10" s="69"/>
      <c r="W10" s="69"/>
      <c r="X10" s="69"/>
    </row>
    <row r="11" spans="1:24" x14ac:dyDescent="0.25">
      <c r="A11" s="211"/>
      <c r="B11" s="301"/>
      <c r="C11" s="201"/>
      <c r="D11" s="140"/>
      <c r="E11" s="184"/>
      <c r="F11" s="202"/>
      <c r="G11" s="305"/>
      <c r="H11" s="203"/>
      <c r="I11" s="204"/>
      <c r="J11" s="210"/>
      <c r="K11" s="210"/>
      <c r="L11" s="210"/>
      <c r="M11" s="210"/>
      <c r="N11" s="210"/>
      <c r="O11" s="210"/>
      <c r="P11" s="210"/>
      <c r="Q11" s="210"/>
      <c r="R11" s="210"/>
      <c r="S11" s="210"/>
      <c r="T11" s="210"/>
      <c r="U11" s="210"/>
      <c r="V11" s="69"/>
      <c r="W11" s="69"/>
      <c r="X11" s="69"/>
    </row>
    <row r="12" spans="1:24" x14ac:dyDescent="0.25">
      <c r="A12" s="212"/>
      <c r="B12" s="213"/>
      <c r="C12" s="207"/>
      <c r="E12" s="184"/>
      <c r="F12" s="184"/>
      <c r="G12" s="243"/>
      <c r="H12" s="208"/>
      <c r="I12" s="209"/>
      <c r="J12" s="190"/>
      <c r="K12" s="190"/>
      <c r="L12" s="190"/>
      <c r="M12" s="190"/>
      <c r="N12" s="190"/>
      <c r="O12" s="190"/>
      <c r="P12" s="190"/>
      <c r="Q12" s="190"/>
      <c r="R12" s="190"/>
      <c r="S12" s="190"/>
      <c r="T12" s="190"/>
      <c r="U12" s="190"/>
    </row>
    <row r="13" spans="1:24" x14ac:dyDescent="0.25">
      <c r="A13" s="212"/>
      <c r="B13" s="213"/>
      <c r="C13" s="207"/>
      <c r="E13" s="184"/>
      <c r="F13" s="184"/>
      <c r="G13" s="243"/>
      <c r="H13" s="208"/>
      <c r="I13" s="209"/>
      <c r="J13" s="190"/>
      <c r="K13" s="190"/>
      <c r="L13" s="190"/>
      <c r="M13" s="190"/>
      <c r="N13" s="190"/>
      <c r="O13" s="190"/>
      <c r="P13" s="190"/>
      <c r="Q13" s="190"/>
      <c r="R13" s="190"/>
      <c r="S13" s="190"/>
      <c r="T13" s="190"/>
      <c r="U13" s="190"/>
    </row>
    <row r="14" spans="1:24" x14ac:dyDescent="0.25">
      <c r="A14" s="212"/>
      <c r="B14" s="213"/>
      <c r="C14" s="207"/>
      <c r="E14" s="184"/>
      <c r="F14" s="184"/>
      <c r="G14" s="243"/>
      <c r="H14" s="208"/>
      <c r="I14" s="209"/>
      <c r="J14" s="190"/>
      <c r="K14" s="190"/>
      <c r="L14" s="190"/>
      <c r="M14" s="190"/>
      <c r="N14" s="190"/>
      <c r="O14" s="190"/>
      <c r="P14" s="190"/>
      <c r="Q14" s="190"/>
      <c r="R14" s="190"/>
      <c r="S14" s="190"/>
      <c r="T14" s="190"/>
      <c r="U14" s="190"/>
    </row>
    <row r="15" spans="1:24" x14ac:dyDescent="0.25">
      <c r="A15" s="212"/>
      <c r="B15" s="213"/>
      <c r="C15" s="207"/>
      <c r="E15" s="184"/>
      <c r="F15" s="184"/>
      <c r="G15" s="243"/>
      <c r="H15" s="208"/>
      <c r="I15" s="209"/>
      <c r="J15" s="190"/>
      <c r="K15" s="190"/>
      <c r="L15" s="190"/>
      <c r="M15" s="190"/>
      <c r="N15" s="190"/>
      <c r="O15" s="190"/>
      <c r="P15" s="190"/>
      <c r="Q15" s="190"/>
      <c r="R15" s="190"/>
      <c r="S15" s="190"/>
      <c r="T15" s="190"/>
      <c r="U15" s="190"/>
    </row>
    <row r="16" spans="1:24" x14ac:dyDescent="0.25">
      <c r="A16" s="212"/>
      <c r="B16" s="213"/>
      <c r="C16" s="207"/>
      <c r="E16" s="184"/>
      <c r="F16" s="184"/>
      <c r="G16" s="243"/>
      <c r="H16" s="208"/>
      <c r="I16" s="209"/>
      <c r="J16" s="190"/>
      <c r="K16" s="190"/>
      <c r="L16" s="190"/>
      <c r="M16" s="190"/>
      <c r="N16" s="190"/>
      <c r="O16" s="190"/>
      <c r="P16" s="190"/>
      <c r="Q16" s="190"/>
      <c r="R16" s="190"/>
      <c r="S16" s="190"/>
      <c r="T16" s="190"/>
      <c r="U16" s="190"/>
    </row>
    <row r="17" spans="1:21" x14ac:dyDescent="0.25">
      <c r="A17" s="212"/>
      <c r="B17" s="213"/>
      <c r="C17" s="207"/>
      <c r="E17" s="184"/>
      <c r="F17" s="184"/>
      <c r="G17" s="243"/>
      <c r="H17" s="208"/>
      <c r="I17" s="209"/>
      <c r="J17" s="190"/>
      <c r="K17" s="190"/>
      <c r="L17" s="190"/>
      <c r="M17" s="190"/>
      <c r="N17" s="190"/>
      <c r="O17" s="190"/>
      <c r="P17" s="190"/>
      <c r="Q17" s="190"/>
      <c r="R17" s="190"/>
      <c r="S17" s="190"/>
      <c r="T17" s="190"/>
      <c r="U17" s="190"/>
    </row>
    <row r="18" spans="1:21" x14ac:dyDescent="0.25">
      <c r="A18" s="212"/>
      <c r="B18" s="213"/>
      <c r="C18" s="207"/>
      <c r="E18" s="184"/>
      <c r="F18" s="184"/>
      <c r="G18" s="243"/>
      <c r="H18" s="208"/>
      <c r="I18" s="209"/>
      <c r="J18" s="190"/>
      <c r="K18" s="190"/>
      <c r="L18" s="190"/>
      <c r="M18" s="190"/>
      <c r="N18" s="190"/>
      <c r="O18" s="190"/>
      <c r="P18" s="190"/>
      <c r="Q18" s="190"/>
      <c r="R18" s="190"/>
      <c r="S18" s="190"/>
      <c r="T18" s="190"/>
      <c r="U18" s="190"/>
    </row>
    <row r="19" spans="1:21" x14ac:dyDescent="0.25">
      <c r="A19" s="212"/>
      <c r="B19" s="213"/>
      <c r="C19" s="207"/>
      <c r="E19" s="184"/>
      <c r="F19" s="184"/>
      <c r="G19" s="243"/>
      <c r="H19" s="208"/>
      <c r="I19" s="209"/>
      <c r="J19" s="190"/>
      <c r="K19" s="190"/>
      <c r="L19" s="190"/>
      <c r="M19" s="190"/>
      <c r="N19" s="190"/>
      <c r="O19" s="190"/>
      <c r="P19" s="190"/>
      <c r="Q19" s="190"/>
      <c r="R19" s="190"/>
      <c r="S19" s="190"/>
      <c r="T19" s="190"/>
      <c r="U19" s="190"/>
    </row>
    <row r="20" spans="1:21" x14ac:dyDescent="0.25">
      <c r="A20" s="212"/>
      <c r="B20" s="213"/>
      <c r="C20" s="207"/>
      <c r="E20" s="184"/>
      <c r="F20" s="184"/>
      <c r="G20" s="243"/>
      <c r="H20" s="208"/>
      <c r="I20" s="209"/>
      <c r="J20" s="190"/>
      <c r="K20" s="190"/>
      <c r="L20" s="190"/>
      <c r="M20" s="190"/>
      <c r="N20" s="190"/>
      <c r="O20" s="190"/>
      <c r="P20" s="190"/>
      <c r="Q20" s="190"/>
      <c r="R20" s="190"/>
      <c r="S20" s="190"/>
      <c r="T20" s="190"/>
      <c r="U20" s="190"/>
    </row>
    <row r="21" spans="1:21" x14ac:dyDescent="0.25">
      <c r="A21" s="212"/>
      <c r="B21" s="213"/>
      <c r="C21" s="207"/>
      <c r="E21" s="184"/>
      <c r="F21" s="184"/>
      <c r="G21" s="243"/>
      <c r="H21" s="208"/>
      <c r="I21" s="209"/>
      <c r="J21" s="190"/>
      <c r="K21" s="190"/>
      <c r="L21" s="190"/>
      <c r="M21" s="190"/>
      <c r="N21" s="190"/>
      <c r="O21" s="190"/>
      <c r="P21" s="190"/>
      <c r="Q21" s="190"/>
      <c r="R21" s="190"/>
      <c r="S21" s="190"/>
      <c r="T21" s="190"/>
      <c r="U21" s="190"/>
    </row>
    <row r="22" spans="1:21" x14ac:dyDescent="0.25">
      <c r="A22" s="212"/>
      <c r="B22" s="213"/>
      <c r="C22" s="207"/>
      <c r="E22" s="184"/>
      <c r="F22" s="184"/>
      <c r="G22" s="243"/>
      <c r="H22" s="208"/>
      <c r="I22" s="209"/>
      <c r="J22" s="190"/>
      <c r="K22" s="190"/>
      <c r="L22" s="190"/>
      <c r="M22" s="190"/>
      <c r="N22" s="190"/>
      <c r="O22" s="190"/>
      <c r="P22" s="190"/>
      <c r="Q22" s="190"/>
      <c r="R22" s="190"/>
      <c r="S22" s="190"/>
      <c r="T22" s="190"/>
      <c r="U22" s="190"/>
    </row>
    <row r="23" spans="1:21" x14ac:dyDescent="0.25">
      <c r="A23" s="212"/>
      <c r="B23" s="213"/>
      <c r="C23" s="207"/>
      <c r="E23" s="184"/>
      <c r="F23" s="184"/>
      <c r="G23" s="243"/>
      <c r="H23" s="208"/>
      <c r="I23" s="209"/>
      <c r="J23" s="190"/>
      <c r="K23" s="190"/>
      <c r="L23" s="190"/>
      <c r="M23" s="190"/>
      <c r="N23" s="190"/>
      <c r="O23" s="190"/>
      <c r="P23" s="190"/>
      <c r="Q23" s="190"/>
      <c r="R23" s="190"/>
      <c r="S23" s="190"/>
      <c r="T23" s="190"/>
      <c r="U23" s="190"/>
    </row>
    <row r="24" spans="1:21" x14ac:dyDescent="0.25">
      <c r="A24" s="212"/>
      <c r="B24" s="213"/>
      <c r="C24" s="207"/>
      <c r="E24" s="184"/>
      <c r="F24" s="184"/>
      <c r="G24" s="243"/>
      <c r="H24" s="208"/>
      <c r="I24" s="209"/>
      <c r="J24" s="190"/>
      <c r="K24" s="190"/>
      <c r="L24" s="190"/>
      <c r="M24" s="190"/>
      <c r="N24" s="190"/>
      <c r="O24" s="190"/>
      <c r="P24" s="190"/>
      <c r="Q24" s="190"/>
      <c r="R24" s="190"/>
      <c r="S24" s="190"/>
      <c r="T24" s="190"/>
      <c r="U24" s="190"/>
    </row>
    <row r="25" spans="1:21" x14ac:dyDescent="0.25">
      <c r="A25" s="212"/>
      <c r="B25" s="213"/>
      <c r="C25" s="207"/>
      <c r="E25" s="184"/>
      <c r="F25" s="184"/>
      <c r="G25" s="243"/>
      <c r="H25" s="208"/>
      <c r="I25" s="209"/>
      <c r="J25" s="190"/>
      <c r="K25" s="190"/>
      <c r="L25" s="190"/>
      <c r="M25" s="190"/>
      <c r="N25" s="190"/>
      <c r="O25" s="190"/>
      <c r="P25" s="190"/>
      <c r="Q25" s="190"/>
      <c r="R25" s="190"/>
      <c r="S25" s="190"/>
      <c r="T25" s="190"/>
      <c r="U25" s="190"/>
    </row>
    <row r="26" spans="1:21" x14ac:dyDescent="0.25">
      <c r="A26" s="212"/>
      <c r="B26" s="213"/>
      <c r="C26" s="207"/>
      <c r="E26" s="184"/>
      <c r="F26" s="184"/>
      <c r="G26" s="243"/>
      <c r="H26" s="208"/>
      <c r="I26" s="209"/>
      <c r="J26" s="190"/>
      <c r="K26" s="190"/>
      <c r="L26" s="190"/>
      <c r="M26" s="190"/>
      <c r="N26" s="190"/>
      <c r="O26" s="190"/>
      <c r="P26" s="190"/>
      <c r="Q26" s="190"/>
      <c r="R26" s="190"/>
      <c r="S26" s="190"/>
      <c r="T26" s="190"/>
      <c r="U26" s="190"/>
    </row>
    <row r="27" spans="1:21" x14ac:dyDescent="0.25">
      <c r="A27" s="212"/>
      <c r="B27" s="213"/>
      <c r="C27" s="207"/>
      <c r="E27" s="184"/>
      <c r="F27" s="184"/>
      <c r="G27" s="243"/>
      <c r="H27" s="208"/>
      <c r="I27" s="209"/>
      <c r="J27" s="190"/>
      <c r="K27" s="190"/>
      <c r="L27" s="190"/>
      <c r="M27" s="190"/>
      <c r="N27" s="190"/>
      <c r="O27" s="190"/>
      <c r="P27" s="190"/>
      <c r="Q27" s="190"/>
      <c r="R27" s="190"/>
      <c r="S27" s="190"/>
      <c r="T27" s="190"/>
      <c r="U27" s="190"/>
    </row>
    <row r="28" spans="1:21" x14ac:dyDescent="0.25">
      <c r="A28" s="212"/>
      <c r="B28" s="213"/>
      <c r="C28" s="207"/>
      <c r="E28" s="184"/>
      <c r="F28" s="184"/>
      <c r="G28" s="243"/>
      <c r="H28" s="208"/>
      <c r="I28" s="209"/>
      <c r="J28" s="190"/>
      <c r="K28" s="190"/>
      <c r="L28" s="190"/>
      <c r="M28" s="190"/>
      <c r="N28" s="190"/>
      <c r="O28" s="190"/>
      <c r="P28" s="190"/>
      <c r="Q28" s="190"/>
      <c r="R28" s="190"/>
      <c r="S28" s="190"/>
      <c r="T28" s="190"/>
      <c r="U28" s="190"/>
    </row>
    <row r="29" spans="1:21" x14ac:dyDescent="0.25">
      <c r="A29" s="212"/>
      <c r="B29" s="213"/>
      <c r="C29" s="207"/>
      <c r="E29" s="184"/>
      <c r="F29" s="184"/>
      <c r="G29" s="243"/>
      <c r="H29" s="208"/>
      <c r="I29" s="209"/>
      <c r="J29" s="190"/>
      <c r="K29" s="190"/>
      <c r="L29" s="190"/>
      <c r="M29" s="190"/>
      <c r="N29" s="190"/>
      <c r="O29" s="190"/>
      <c r="P29" s="190"/>
      <c r="Q29" s="190"/>
      <c r="R29" s="190"/>
      <c r="S29" s="190"/>
      <c r="T29" s="190"/>
      <c r="U29" s="190"/>
    </row>
    <row r="30" spans="1:21" x14ac:dyDescent="0.25">
      <c r="A30" s="212"/>
      <c r="B30" s="213"/>
      <c r="C30" s="207"/>
      <c r="E30" s="184"/>
      <c r="F30" s="184"/>
      <c r="G30" s="243"/>
      <c r="H30" s="208"/>
      <c r="I30" s="209"/>
      <c r="J30" s="190"/>
      <c r="K30" s="190"/>
      <c r="L30" s="190"/>
      <c r="M30" s="190"/>
      <c r="N30" s="190"/>
      <c r="O30" s="190"/>
      <c r="P30" s="190"/>
      <c r="Q30" s="190"/>
      <c r="R30" s="190"/>
      <c r="S30" s="190"/>
      <c r="T30" s="190"/>
      <c r="U30" s="190"/>
    </row>
    <row r="31" spans="1:21" x14ac:dyDescent="0.25">
      <c r="A31" s="212"/>
      <c r="B31" s="213"/>
      <c r="C31" s="207"/>
      <c r="E31" s="184"/>
      <c r="F31" s="184"/>
      <c r="G31" s="243"/>
      <c r="H31" s="208"/>
      <c r="I31" s="209"/>
      <c r="J31" s="190"/>
      <c r="K31" s="190"/>
      <c r="L31" s="190"/>
      <c r="M31" s="190"/>
      <c r="N31" s="190"/>
      <c r="O31" s="190"/>
      <c r="P31" s="190"/>
      <c r="Q31" s="190"/>
      <c r="R31" s="190"/>
      <c r="S31" s="190"/>
      <c r="T31" s="190"/>
      <c r="U31" s="190"/>
    </row>
    <row r="32" spans="1:21" x14ac:dyDescent="0.25">
      <c r="A32" s="212"/>
      <c r="B32" s="213"/>
      <c r="C32" s="207"/>
      <c r="E32" s="184"/>
      <c r="F32" s="184"/>
      <c r="G32" s="243"/>
      <c r="H32" s="208"/>
      <c r="I32" s="209"/>
      <c r="J32" s="190"/>
      <c r="K32" s="190"/>
      <c r="L32" s="190"/>
      <c r="M32" s="190"/>
      <c r="N32" s="190"/>
      <c r="O32" s="190"/>
      <c r="P32" s="190"/>
      <c r="Q32" s="190"/>
      <c r="R32" s="190"/>
      <c r="S32" s="190"/>
      <c r="T32" s="190"/>
      <c r="U32" s="190"/>
    </row>
    <row r="33" spans="1:21" x14ac:dyDescent="0.25">
      <c r="A33" s="212"/>
      <c r="B33" s="213"/>
      <c r="C33" s="207"/>
      <c r="E33" s="184"/>
      <c r="F33" s="184"/>
      <c r="G33" s="243"/>
      <c r="H33" s="208"/>
      <c r="I33" s="209"/>
      <c r="J33" s="190"/>
      <c r="K33" s="190"/>
      <c r="L33" s="190"/>
      <c r="M33" s="190"/>
      <c r="N33" s="190"/>
      <c r="O33" s="190"/>
      <c r="P33" s="190"/>
      <c r="Q33" s="190"/>
      <c r="R33" s="190"/>
      <c r="S33" s="190"/>
      <c r="T33" s="190"/>
      <c r="U33" s="190"/>
    </row>
    <row r="34" spans="1:21" x14ac:dyDescent="0.25">
      <c r="A34" s="212"/>
      <c r="B34" s="213"/>
      <c r="C34" s="207"/>
      <c r="E34" s="184"/>
      <c r="F34" s="184"/>
      <c r="G34" s="243"/>
      <c r="H34" s="208"/>
      <c r="I34" s="209"/>
      <c r="J34" s="190"/>
      <c r="K34" s="190"/>
      <c r="L34" s="190"/>
      <c r="M34" s="190"/>
      <c r="N34" s="190"/>
      <c r="O34" s="190"/>
      <c r="P34" s="190"/>
      <c r="Q34" s="190"/>
      <c r="R34" s="190"/>
      <c r="S34" s="190"/>
      <c r="T34" s="190"/>
      <c r="U34" s="190"/>
    </row>
    <row r="35" spans="1:21" x14ac:dyDescent="0.25">
      <c r="A35" s="212"/>
      <c r="B35" s="213"/>
      <c r="C35" s="207"/>
      <c r="E35" s="184"/>
      <c r="F35" s="184"/>
      <c r="G35" s="243"/>
      <c r="H35" s="208"/>
      <c r="I35" s="209"/>
      <c r="J35" s="190"/>
      <c r="K35" s="190"/>
      <c r="L35" s="190"/>
      <c r="M35" s="190"/>
      <c r="N35" s="190"/>
      <c r="O35" s="190"/>
      <c r="P35" s="190"/>
      <c r="Q35" s="190"/>
      <c r="R35" s="190"/>
      <c r="S35" s="190"/>
      <c r="T35" s="190"/>
      <c r="U35" s="190"/>
    </row>
    <row r="36" spans="1:21" x14ac:dyDescent="0.25">
      <c r="A36" s="212"/>
      <c r="B36" s="213"/>
      <c r="C36" s="207"/>
      <c r="E36" s="184"/>
      <c r="F36" s="184"/>
      <c r="G36" s="243"/>
      <c r="H36" s="208"/>
      <c r="I36" s="209"/>
      <c r="J36" s="190"/>
      <c r="K36" s="190"/>
      <c r="L36" s="190"/>
      <c r="M36" s="190"/>
      <c r="N36" s="190"/>
      <c r="O36" s="190"/>
      <c r="P36" s="190"/>
      <c r="Q36" s="190"/>
      <c r="R36" s="190"/>
      <c r="S36" s="190"/>
      <c r="T36" s="190"/>
      <c r="U36" s="190"/>
    </row>
    <row r="37" spans="1:21" x14ac:dyDescent="0.25">
      <c r="A37" s="212"/>
      <c r="B37" s="213"/>
      <c r="C37" s="207"/>
      <c r="E37" s="184"/>
      <c r="F37" s="184"/>
      <c r="G37" s="243"/>
      <c r="H37" s="208"/>
      <c r="I37" s="209"/>
      <c r="J37" s="190"/>
      <c r="K37" s="190"/>
      <c r="L37" s="190"/>
      <c r="M37" s="190"/>
      <c r="N37" s="190"/>
      <c r="O37" s="190"/>
      <c r="P37" s="190"/>
      <c r="Q37" s="190"/>
      <c r="R37" s="190"/>
      <c r="S37" s="190"/>
      <c r="T37" s="190"/>
      <c r="U37" s="190"/>
    </row>
    <row r="38" spans="1:21" x14ac:dyDescent="0.25">
      <c r="A38" s="212"/>
      <c r="B38" s="213"/>
      <c r="C38" s="207"/>
      <c r="E38" s="184"/>
      <c r="F38" s="184"/>
      <c r="G38" s="243"/>
      <c r="H38" s="208"/>
      <c r="I38" s="209"/>
      <c r="J38" s="190"/>
      <c r="K38" s="190"/>
      <c r="L38" s="190"/>
      <c r="M38" s="190"/>
      <c r="N38" s="190"/>
      <c r="O38" s="190"/>
      <c r="P38" s="190"/>
      <c r="Q38" s="190"/>
      <c r="R38" s="190"/>
      <c r="S38" s="190"/>
      <c r="T38" s="190"/>
      <c r="U38" s="190"/>
    </row>
    <row r="39" spans="1:21" x14ac:dyDescent="0.25">
      <c r="A39" s="212"/>
      <c r="B39" s="213"/>
      <c r="C39" s="207"/>
      <c r="E39" s="184"/>
      <c r="F39" s="184"/>
      <c r="G39" s="243"/>
      <c r="H39" s="208"/>
      <c r="I39" s="209"/>
      <c r="J39" s="190"/>
      <c r="K39" s="190"/>
      <c r="L39" s="190"/>
      <c r="M39" s="190"/>
      <c r="N39" s="190"/>
      <c r="O39" s="190"/>
      <c r="P39" s="190"/>
      <c r="Q39" s="190"/>
      <c r="R39" s="190"/>
      <c r="S39" s="190"/>
      <c r="T39" s="190"/>
      <c r="U39" s="190"/>
    </row>
    <row r="40" spans="1:21" x14ac:dyDescent="0.25">
      <c r="A40" s="212"/>
      <c r="B40" s="213"/>
      <c r="C40" s="207"/>
      <c r="E40" s="184"/>
      <c r="F40" s="184"/>
      <c r="G40" s="243"/>
      <c r="H40" s="208"/>
      <c r="I40" s="209"/>
      <c r="J40" s="190"/>
      <c r="K40" s="190"/>
      <c r="L40" s="190"/>
      <c r="M40" s="190"/>
      <c r="N40" s="190"/>
      <c r="O40" s="190"/>
      <c r="P40" s="190"/>
      <c r="Q40" s="190"/>
      <c r="R40" s="190"/>
      <c r="S40" s="190"/>
      <c r="T40" s="190"/>
      <c r="U40" s="190"/>
    </row>
    <row r="41" spans="1:21" x14ac:dyDescent="0.25">
      <c r="A41" s="23"/>
      <c r="E41" s="184"/>
      <c r="F41" s="184"/>
      <c r="G41" s="243"/>
      <c r="H41" s="208"/>
      <c r="I41" s="209"/>
      <c r="J41" s="190"/>
      <c r="K41" s="190"/>
      <c r="L41" s="190"/>
      <c r="M41" s="190"/>
      <c r="N41" s="190"/>
      <c r="O41" s="190"/>
      <c r="P41" s="190"/>
      <c r="Q41" s="190"/>
      <c r="R41" s="190"/>
      <c r="S41" s="190"/>
      <c r="T41" s="190"/>
      <c r="U41" s="190"/>
    </row>
    <row r="42" spans="1:21" x14ac:dyDescent="0.25">
      <c r="A42" s="23"/>
      <c r="E42" s="184"/>
      <c r="F42" s="184"/>
      <c r="G42" s="243"/>
      <c r="H42" s="208"/>
      <c r="I42" s="209"/>
      <c r="J42" s="190"/>
      <c r="K42" s="190"/>
      <c r="L42" s="190"/>
      <c r="M42" s="190"/>
      <c r="N42" s="190"/>
      <c r="O42" s="190"/>
      <c r="P42" s="190"/>
      <c r="Q42" s="190"/>
      <c r="R42" s="190"/>
      <c r="S42" s="190"/>
      <c r="T42" s="190"/>
      <c r="U42" s="190"/>
    </row>
    <row r="43" spans="1:21" x14ac:dyDescent="0.25">
      <c r="A43" s="23"/>
      <c r="E43" s="184"/>
      <c r="F43" s="184"/>
      <c r="G43" s="243"/>
      <c r="H43" s="208"/>
      <c r="I43" s="209"/>
      <c r="J43" s="190"/>
      <c r="K43" s="190"/>
      <c r="L43" s="190"/>
      <c r="M43" s="190"/>
      <c r="N43" s="190"/>
      <c r="O43" s="190"/>
      <c r="P43" s="190"/>
      <c r="Q43" s="190"/>
      <c r="R43" s="190"/>
      <c r="S43" s="190"/>
      <c r="T43" s="190"/>
      <c r="U43" s="190"/>
    </row>
    <row r="44" spans="1:21" x14ac:dyDescent="0.25">
      <c r="A44" s="23"/>
      <c r="E44" s="62"/>
    </row>
    <row r="45" spans="1:21" x14ac:dyDescent="0.25">
      <c r="A45" s="23"/>
      <c r="E45" s="62"/>
    </row>
    <row r="46" spans="1:21" x14ac:dyDescent="0.25">
      <c r="A46" s="23"/>
    </row>
    <row r="47" spans="1:21" x14ac:dyDescent="0.25">
      <c r="A47" s="23"/>
    </row>
    <row r="48" spans="1:21" x14ac:dyDescent="0.25">
      <c r="A48" s="23"/>
    </row>
    <row r="49" spans="1:1" x14ac:dyDescent="0.25">
      <c r="A49" s="23"/>
    </row>
    <row r="50" spans="1:1" x14ac:dyDescent="0.25">
      <c r="A50" s="23"/>
    </row>
    <row r="51" spans="1:1" x14ac:dyDescent="0.25">
      <c r="A51" s="23"/>
    </row>
    <row r="52" spans="1:1" x14ac:dyDescent="0.25">
      <c r="A52" s="23"/>
    </row>
    <row r="53" spans="1:1" x14ac:dyDescent="0.25">
      <c r="A53" s="23"/>
    </row>
    <row r="54" spans="1:1" x14ac:dyDescent="0.25">
      <c r="A54" s="23"/>
    </row>
    <row r="55" spans="1:1" x14ac:dyDescent="0.25">
      <c r="A55" s="23"/>
    </row>
    <row r="56" spans="1:1" x14ac:dyDescent="0.25">
      <c r="A56" s="23"/>
    </row>
    <row r="57" spans="1:1" x14ac:dyDescent="0.25">
      <c r="A57" s="23"/>
    </row>
    <row r="58" spans="1:1" x14ac:dyDescent="0.25">
      <c r="A58" s="23"/>
    </row>
    <row r="59" spans="1:1" x14ac:dyDescent="0.25">
      <c r="A59" s="23"/>
    </row>
    <row r="60" spans="1:1" x14ac:dyDescent="0.25">
      <c r="A60" s="23"/>
    </row>
    <row r="61" spans="1:1" x14ac:dyDescent="0.25">
      <c r="A61" s="23"/>
    </row>
    <row r="62" spans="1:1" x14ac:dyDescent="0.25">
      <c r="A62" s="23"/>
    </row>
    <row r="63" spans="1:1" x14ac:dyDescent="0.25">
      <c r="A63" s="23"/>
    </row>
    <row r="64" spans="1:1" x14ac:dyDescent="0.25">
      <c r="A64" s="23"/>
    </row>
    <row r="65" spans="1:1" x14ac:dyDescent="0.25">
      <c r="A65" s="23"/>
    </row>
    <row r="66" spans="1:1" x14ac:dyDescent="0.25">
      <c r="A66" s="23"/>
    </row>
    <row r="67" spans="1:1" x14ac:dyDescent="0.25">
      <c r="A67" s="23"/>
    </row>
    <row r="68" spans="1:1" x14ac:dyDescent="0.25">
      <c r="A68" s="23"/>
    </row>
    <row r="69" spans="1:1" x14ac:dyDescent="0.25">
      <c r="A69" s="23"/>
    </row>
    <row r="70" spans="1:1" x14ac:dyDescent="0.25">
      <c r="A70" s="23"/>
    </row>
    <row r="71" spans="1:1" x14ac:dyDescent="0.25">
      <c r="A71" s="23"/>
    </row>
    <row r="72" spans="1:1" x14ac:dyDescent="0.25">
      <c r="A72" s="23"/>
    </row>
    <row r="73" spans="1:1" x14ac:dyDescent="0.25">
      <c r="A73" s="23"/>
    </row>
    <row r="74" spans="1:1" x14ac:dyDescent="0.25">
      <c r="A74" s="23"/>
    </row>
    <row r="75" spans="1:1" x14ac:dyDescent="0.25">
      <c r="A75" s="23"/>
    </row>
    <row r="76" spans="1:1" x14ac:dyDescent="0.25">
      <c r="A76" s="23"/>
    </row>
    <row r="77" spans="1:1" x14ac:dyDescent="0.25">
      <c r="A77" s="23"/>
    </row>
    <row r="78" spans="1:1" x14ac:dyDescent="0.25">
      <c r="A78" s="23"/>
    </row>
    <row r="79" spans="1:1" x14ac:dyDescent="0.25">
      <c r="A79" s="23"/>
    </row>
    <row r="80" spans="1:1" x14ac:dyDescent="0.25">
      <c r="A80" s="23"/>
    </row>
    <row r="81" spans="1:1" x14ac:dyDescent="0.25">
      <c r="A81" s="23"/>
    </row>
    <row r="82" spans="1:1" x14ac:dyDescent="0.25">
      <c r="A82" s="23"/>
    </row>
    <row r="83" spans="1:1" x14ac:dyDescent="0.25">
      <c r="A83" s="23"/>
    </row>
    <row r="84" spans="1:1" x14ac:dyDescent="0.25">
      <c r="A84" s="23"/>
    </row>
    <row r="85" spans="1:1" x14ac:dyDescent="0.25">
      <c r="A85" s="23"/>
    </row>
    <row r="86" spans="1:1" x14ac:dyDescent="0.25">
      <c r="A86" s="23"/>
    </row>
    <row r="87" spans="1:1" x14ac:dyDescent="0.25">
      <c r="A87" s="23"/>
    </row>
    <row r="88" spans="1:1" x14ac:dyDescent="0.25">
      <c r="A88" s="23"/>
    </row>
    <row r="89" spans="1:1" x14ac:dyDescent="0.25">
      <c r="A89" s="23"/>
    </row>
    <row r="90" spans="1:1" x14ac:dyDescent="0.25">
      <c r="A90" s="23"/>
    </row>
    <row r="91" spans="1:1" x14ac:dyDescent="0.25">
      <c r="A91" s="23"/>
    </row>
    <row r="92" spans="1:1" x14ac:dyDescent="0.25">
      <c r="A92" s="23"/>
    </row>
    <row r="93" spans="1:1" x14ac:dyDescent="0.25">
      <c r="A93" s="23"/>
    </row>
    <row r="94" spans="1:1" x14ac:dyDescent="0.25">
      <c r="A94" s="23"/>
    </row>
    <row r="95" spans="1:1" x14ac:dyDescent="0.25">
      <c r="A95" s="23"/>
    </row>
    <row r="96" spans="1:1" x14ac:dyDescent="0.25">
      <c r="A96" s="23"/>
    </row>
    <row r="97" spans="1:1" x14ac:dyDescent="0.25">
      <c r="A97" s="23"/>
    </row>
    <row r="98" spans="1:1" x14ac:dyDescent="0.25">
      <c r="A98" s="23"/>
    </row>
    <row r="99" spans="1:1" x14ac:dyDescent="0.25">
      <c r="A99" s="23"/>
    </row>
    <row r="100" spans="1:1" x14ac:dyDescent="0.25">
      <c r="A100" s="23"/>
    </row>
    <row r="101" spans="1:1" x14ac:dyDescent="0.25">
      <c r="A101" s="23"/>
    </row>
    <row r="102" spans="1:1" x14ac:dyDescent="0.25">
      <c r="A102" s="23"/>
    </row>
    <row r="103" spans="1:1" x14ac:dyDescent="0.25">
      <c r="A103" s="23"/>
    </row>
    <row r="104" spans="1:1" x14ac:dyDescent="0.25">
      <c r="A104" s="23"/>
    </row>
    <row r="105" spans="1:1" x14ac:dyDescent="0.25">
      <c r="A105" s="23"/>
    </row>
    <row r="106" spans="1:1" x14ac:dyDescent="0.25">
      <c r="A106" s="23"/>
    </row>
    <row r="107" spans="1:1" x14ac:dyDescent="0.25">
      <c r="A107" s="23"/>
    </row>
    <row r="108" spans="1:1" x14ac:dyDescent="0.25">
      <c r="A108" s="23"/>
    </row>
    <row r="109" spans="1:1" x14ac:dyDescent="0.25">
      <c r="A109" s="23"/>
    </row>
    <row r="110" spans="1:1" x14ac:dyDescent="0.25">
      <c r="A110" s="23"/>
    </row>
    <row r="111" spans="1:1" x14ac:dyDescent="0.25">
      <c r="A111" s="23"/>
    </row>
    <row r="112" spans="1:1" x14ac:dyDescent="0.25">
      <c r="A112" s="23"/>
    </row>
    <row r="113" spans="1:1" x14ac:dyDescent="0.25">
      <c r="A113" s="23"/>
    </row>
    <row r="114" spans="1:1" x14ac:dyDescent="0.25">
      <c r="A114" s="23"/>
    </row>
    <row r="115" spans="1:1" x14ac:dyDescent="0.25">
      <c r="A115" s="23"/>
    </row>
    <row r="116" spans="1:1" x14ac:dyDescent="0.25">
      <c r="A116" s="23"/>
    </row>
    <row r="117" spans="1:1" x14ac:dyDescent="0.25">
      <c r="A117" s="23"/>
    </row>
    <row r="118" spans="1:1" x14ac:dyDescent="0.25">
      <c r="A118" s="23"/>
    </row>
    <row r="119" spans="1:1" x14ac:dyDescent="0.25">
      <c r="A119" s="23"/>
    </row>
    <row r="120" spans="1:1" x14ac:dyDescent="0.25">
      <c r="A120" s="23"/>
    </row>
    <row r="121" spans="1:1" x14ac:dyDescent="0.25">
      <c r="A121" s="23"/>
    </row>
    <row r="122" spans="1:1" x14ac:dyDescent="0.25">
      <c r="A122" s="23"/>
    </row>
    <row r="123" spans="1:1" x14ac:dyDescent="0.25">
      <c r="A123" s="23"/>
    </row>
    <row r="124" spans="1:1" x14ac:dyDescent="0.25">
      <c r="A124" s="23"/>
    </row>
    <row r="125" spans="1:1" x14ac:dyDescent="0.25">
      <c r="A125" s="23"/>
    </row>
    <row r="126" spans="1:1" x14ac:dyDescent="0.25">
      <c r="A126" s="23"/>
    </row>
    <row r="127" spans="1:1" x14ac:dyDescent="0.25">
      <c r="A127" s="23"/>
    </row>
    <row r="128" spans="1:1" x14ac:dyDescent="0.25">
      <c r="A128" s="23"/>
    </row>
    <row r="129" spans="1:1" x14ac:dyDescent="0.25">
      <c r="A129" s="23"/>
    </row>
    <row r="130" spans="1:1" x14ac:dyDescent="0.25">
      <c r="A130" s="23"/>
    </row>
    <row r="131" spans="1:1" x14ac:dyDescent="0.25">
      <c r="A131" s="23"/>
    </row>
    <row r="132" spans="1:1" x14ac:dyDescent="0.25">
      <c r="A132" s="23"/>
    </row>
    <row r="133" spans="1:1" x14ac:dyDescent="0.25">
      <c r="A133" s="23"/>
    </row>
    <row r="134" spans="1:1" x14ac:dyDescent="0.25">
      <c r="A134" s="23"/>
    </row>
    <row r="135" spans="1:1" x14ac:dyDescent="0.25">
      <c r="A135" s="23"/>
    </row>
    <row r="136" spans="1:1" x14ac:dyDescent="0.25">
      <c r="A136" s="23"/>
    </row>
    <row r="137" spans="1:1" x14ac:dyDescent="0.25">
      <c r="A137" s="23"/>
    </row>
    <row r="138" spans="1:1" x14ac:dyDescent="0.25">
      <c r="A138" s="23"/>
    </row>
    <row r="139" spans="1:1" x14ac:dyDescent="0.25">
      <c r="A139" s="23"/>
    </row>
    <row r="140" spans="1:1" x14ac:dyDescent="0.25">
      <c r="A140" s="23"/>
    </row>
    <row r="141" spans="1:1" x14ac:dyDescent="0.25">
      <c r="A141" s="23"/>
    </row>
    <row r="142" spans="1:1" x14ac:dyDescent="0.25">
      <c r="A142" s="23"/>
    </row>
    <row r="143" spans="1:1" x14ac:dyDescent="0.25">
      <c r="A143" s="23"/>
    </row>
    <row r="144" spans="1:1" x14ac:dyDescent="0.25">
      <c r="A144" s="23"/>
    </row>
    <row r="145" spans="1:1" x14ac:dyDescent="0.25">
      <c r="A145" s="23"/>
    </row>
    <row r="146" spans="1:1" x14ac:dyDescent="0.25">
      <c r="A146" s="23"/>
    </row>
    <row r="147" spans="1:1" x14ac:dyDescent="0.25">
      <c r="A147" s="23"/>
    </row>
    <row r="148" spans="1:1" x14ac:dyDescent="0.25">
      <c r="A148" s="23"/>
    </row>
    <row r="149" spans="1:1" x14ac:dyDescent="0.25">
      <c r="A149" s="23"/>
    </row>
    <row r="150" spans="1:1" x14ac:dyDescent="0.25">
      <c r="A150" s="23"/>
    </row>
    <row r="151" spans="1:1" x14ac:dyDescent="0.25">
      <c r="A151" s="23"/>
    </row>
    <row r="152" spans="1:1" x14ac:dyDescent="0.25">
      <c r="A152" s="23"/>
    </row>
    <row r="153" spans="1:1" x14ac:dyDescent="0.25">
      <c r="A153" s="23"/>
    </row>
    <row r="154" spans="1:1" x14ac:dyDescent="0.25">
      <c r="A154" s="23"/>
    </row>
    <row r="155" spans="1:1" x14ac:dyDescent="0.25">
      <c r="A155" s="23"/>
    </row>
    <row r="156" spans="1:1" x14ac:dyDescent="0.25">
      <c r="A156" s="23"/>
    </row>
    <row r="157" spans="1:1" x14ac:dyDescent="0.25">
      <c r="A157" s="23"/>
    </row>
    <row r="158" spans="1:1" x14ac:dyDescent="0.25">
      <c r="A158" s="23"/>
    </row>
    <row r="159" spans="1:1" x14ac:dyDescent="0.25">
      <c r="A159" s="23"/>
    </row>
    <row r="160" spans="1:1" x14ac:dyDescent="0.25">
      <c r="A160" s="23"/>
    </row>
    <row r="161" spans="1:1" x14ac:dyDescent="0.25">
      <c r="A161" s="23"/>
    </row>
    <row r="162" spans="1:1" x14ac:dyDescent="0.25">
      <c r="A162" s="23"/>
    </row>
    <row r="163" spans="1:1" x14ac:dyDescent="0.25">
      <c r="A163" s="23"/>
    </row>
    <row r="164" spans="1:1" x14ac:dyDescent="0.25">
      <c r="A164" s="23"/>
    </row>
    <row r="165" spans="1:1" x14ac:dyDescent="0.25">
      <c r="A165" s="23"/>
    </row>
    <row r="166" spans="1:1" x14ac:dyDescent="0.25">
      <c r="A166" s="23"/>
    </row>
    <row r="167" spans="1:1" x14ac:dyDescent="0.25">
      <c r="A167" s="23"/>
    </row>
    <row r="168" spans="1:1" x14ac:dyDescent="0.25">
      <c r="A168" s="23"/>
    </row>
    <row r="169" spans="1:1" x14ac:dyDescent="0.25">
      <c r="A169" s="23"/>
    </row>
    <row r="170" spans="1:1" x14ac:dyDescent="0.25">
      <c r="A170" s="23"/>
    </row>
    <row r="171" spans="1:1" x14ac:dyDescent="0.25">
      <c r="A171" s="23"/>
    </row>
    <row r="172" spans="1:1" x14ac:dyDescent="0.25">
      <c r="A172" s="23"/>
    </row>
    <row r="173" spans="1:1" x14ac:dyDescent="0.25">
      <c r="A173" s="23"/>
    </row>
    <row r="174" spans="1:1" x14ac:dyDescent="0.25">
      <c r="A174" s="23"/>
    </row>
    <row r="175" spans="1:1" x14ac:dyDescent="0.25">
      <c r="A175" s="23"/>
    </row>
    <row r="176" spans="1:1" x14ac:dyDescent="0.25">
      <c r="A176" s="23"/>
    </row>
    <row r="177" spans="1:1" x14ac:dyDescent="0.25">
      <c r="A177" s="23"/>
    </row>
    <row r="178" spans="1:1" x14ac:dyDescent="0.25">
      <c r="A178" s="23"/>
    </row>
    <row r="179" spans="1:1" x14ac:dyDescent="0.25">
      <c r="A179" s="23"/>
    </row>
    <row r="180" spans="1:1" x14ac:dyDescent="0.25">
      <c r="A180" s="23"/>
    </row>
    <row r="181" spans="1:1" x14ac:dyDescent="0.25">
      <c r="A181" s="23"/>
    </row>
    <row r="182" spans="1:1" x14ac:dyDescent="0.25">
      <c r="A182" s="23"/>
    </row>
    <row r="183" spans="1:1" x14ac:dyDescent="0.25">
      <c r="A183" s="23"/>
    </row>
    <row r="184" spans="1:1" x14ac:dyDescent="0.25">
      <c r="A184" s="23"/>
    </row>
    <row r="185" spans="1:1" x14ac:dyDescent="0.25">
      <c r="A185" s="23"/>
    </row>
    <row r="186" spans="1:1" x14ac:dyDescent="0.25">
      <c r="A186" s="23"/>
    </row>
    <row r="187" spans="1:1" x14ac:dyDescent="0.25">
      <c r="A187" s="23"/>
    </row>
    <row r="188" spans="1:1" x14ac:dyDescent="0.25">
      <c r="A188" s="23"/>
    </row>
    <row r="189" spans="1:1" x14ac:dyDescent="0.25">
      <c r="A189" s="23"/>
    </row>
    <row r="190" spans="1:1" x14ac:dyDescent="0.25">
      <c r="A190" s="23"/>
    </row>
    <row r="191" spans="1:1" x14ac:dyDescent="0.25">
      <c r="A191" s="23"/>
    </row>
    <row r="192" spans="1:1" x14ac:dyDescent="0.25">
      <c r="A192" s="23"/>
    </row>
    <row r="193" spans="1:1" x14ac:dyDescent="0.25">
      <c r="A193" s="23"/>
    </row>
    <row r="194" spans="1:1" x14ac:dyDescent="0.25">
      <c r="A194" s="23"/>
    </row>
    <row r="195" spans="1:1" x14ac:dyDescent="0.25">
      <c r="A195" s="23"/>
    </row>
    <row r="196" spans="1:1" x14ac:dyDescent="0.25">
      <c r="A196" s="23"/>
    </row>
    <row r="197" spans="1:1" x14ac:dyDescent="0.25">
      <c r="A197" s="23"/>
    </row>
    <row r="198" spans="1:1" x14ac:dyDescent="0.25">
      <c r="A198" s="23"/>
    </row>
    <row r="199" spans="1:1" x14ac:dyDescent="0.25">
      <c r="A199" s="23"/>
    </row>
    <row r="200" spans="1:1" x14ac:dyDescent="0.25">
      <c r="A200" s="23"/>
    </row>
    <row r="201" spans="1:1" x14ac:dyDescent="0.25">
      <c r="A201" s="23"/>
    </row>
    <row r="202" spans="1:1" x14ac:dyDescent="0.25">
      <c r="A202" s="23"/>
    </row>
    <row r="203" spans="1:1" x14ac:dyDescent="0.25">
      <c r="A203" s="23"/>
    </row>
    <row r="204" spans="1:1" x14ac:dyDescent="0.25">
      <c r="A204" s="23"/>
    </row>
    <row r="205" spans="1:1" x14ac:dyDescent="0.25">
      <c r="A205" s="23"/>
    </row>
    <row r="206" spans="1:1" x14ac:dyDescent="0.25">
      <c r="A206" s="23"/>
    </row>
    <row r="207" spans="1:1" x14ac:dyDescent="0.25">
      <c r="A207" s="23"/>
    </row>
    <row r="208" spans="1:1" x14ac:dyDescent="0.25">
      <c r="A208" s="23"/>
    </row>
    <row r="209" spans="1:1" x14ac:dyDescent="0.25">
      <c r="A209" s="23"/>
    </row>
    <row r="210" spans="1:1" x14ac:dyDescent="0.25">
      <c r="A210" s="23"/>
    </row>
    <row r="211" spans="1:1" x14ac:dyDescent="0.25">
      <c r="A211" s="23"/>
    </row>
    <row r="212" spans="1:1" x14ac:dyDescent="0.25">
      <c r="A212" s="23"/>
    </row>
    <row r="213" spans="1:1" x14ac:dyDescent="0.25">
      <c r="A213" s="23"/>
    </row>
    <row r="214" spans="1:1" x14ac:dyDescent="0.25">
      <c r="A214" s="23"/>
    </row>
    <row r="215" spans="1:1" x14ac:dyDescent="0.25">
      <c r="A215" s="23"/>
    </row>
    <row r="216" spans="1:1" x14ac:dyDescent="0.25">
      <c r="A216" s="23"/>
    </row>
    <row r="217" spans="1:1" x14ac:dyDescent="0.25">
      <c r="A217" s="23"/>
    </row>
    <row r="218" spans="1:1" x14ac:dyDescent="0.25">
      <c r="A218" s="23"/>
    </row>
    <row r="219" spans="1:1" x14ac:dyDescent="0.25">
      <c r="A219" s="23"/>
    </row>
    <row r="220" spans="1:1" x14ac:dyDescent="0.25">
      <c r="A220" s="23"/>
    </row>
    <row r="221" spans="1:1" x14ac:dyDescent="0.25">
      <c r="A221" s="23"/>
    </row>
    <row r="222" spans="1:1" x14ac:dyDescent="0.25">
      <c r="A222" s="23"/>
    </row>
    <row r="223" spans="1:1" x14ac:dyDescent="0.25">
      <c r="A223" s="23"/>
    </row>
    <row r="224" spans="1:1" x14ac:dyDescent="0.25">
      <c r="A224" s="23"/>
    </row>
    <row r="225" spans="1:1" x14ac:dyDescent="0.25">
      <c r="A225" s="23"/>
    </row>
    <row r="226" spans="1:1" x14ac:dyDescent="0.25">
      <c r="A226" s="23"/>
    </row>
    <row r="227" spans="1:1" x14ac:dyDescent="0.25">
      <c r="A227" s="23"/>
    </row>
    <row r="228" spans="1:1" x14ac:dyDescent="0.25">
      <c r="A228" s="23"/>
    </row>
    <row r="229" spans="1:1" x14ac:dyDescent="0.25">
      <c r="A229" s="23"/>
    </row>
    <row r="230" spans="1:1" x14ac:dyDescent="0.25">
      <c r="A230" s="23"/>
    </row>
    <row r="231" spans="1:1" x14ac:dyDescent="0.25">
      <c r="A231" s="23"/>
    </row>
    <row r="232" spans="1:1" x14ac:dyDescent="0.25">
      <c r="A232" s="23"/>
    </row>
    <row r="233" spans="1:1" x14ac:dyDescent="0.25">
      <c r="A233" s="23"/>
    </row>
    <row r="234" spans="1:1" x14ac:dyDescent="0.25">
      <c r="A234" s="23"/>
    </row>
    <row r="235" spans="1:1" x14ac:dyDescent="0.25">
      <c r="A235" s="23"/>
    </row>
    <row r="236" spans="1:1" x14ac:dyDescent="0.25">
      <c r="A236" s="23"/>
    </row>
    <row r="237" spans="1:1" x14ac:dyDescent="0.25">
      <c r="A237" s="23"/>
    </row>
    <row r="238" spans="1:1" x14ac:dyDescent="0.25">
      <c r="A238" s="23"/>
    </row>
    <row r="239" spans="1:1" x14ac:dyDescent="0.25">
      <c r="A239" s="23"/>
    </row>
    <row r="240" spans="1:1" x14ac:dyDescent="0.25">
      <c r="A240" s="23"/>
    </row>
    <row r="241" spans="1:1" x14ac:dyDescent="0.25">
      <c r="A241" s="23"/>
    </row>
    <row r="242" spans="1:1" x14ac:dyDescent="0.25">
      <c r="A242" s="23"/>
    </row>
    <row r="243" spans="1:1" x14ac:dyDescent="0.25">
      <c r="A243" s="23"/>
    </row>
    <row r="244" spans="1:1" x14ac:dyDescent="0.25">
      <c r="A244" s="23"/>
    </row>
    <row r="245" spans="1:1" x14ac:dyDescent="0.25">
      <c r="A245" s="23"/>
    </row>
    <row r="246" spans="1:1" x14ac:dyDescent="0.25">
      <c r="A246" s="23"/>
    </row>
    <row r="247" spans="1:1" x14ac:dyDescent="0.25">
      <c r="A247" s="23"/>
    </row>
    <row r="248" spans="1:1" x14ac:dyDescent="0.25">
      <c r="A248" s="23"/>
    </row>
    <row r="249" spans="1:1" x14ac:dyDescent="0.25">
      <c r="A249" s="23"/>
    </row>
    <row r="250" spans="1:1" x14ac:dyDescent="0.25">
      <c r="A250" s="23"/>
    </row>
    <row r="251" spans="1:1" x14ac:dyDescent="0.25">
      <c r="A251" s="23"/>
    </row>
    <row r="252" spans="1:1" x14ac:dyDescent="0.25">
      <c r="A252" s="23"/>
    </row>
    <row r="253" spans="1:1" x14ac:dyDescent="0.25">
      <c r="A253" s="23"/>
    </row>
    <row r="254" spans="1:1" x14ac:dyDescent="0.25">
      <c r="A254" s="23"/>
    </row>
    <row r="255" spans="1:1" x14ac:dyDescent="0.25">
      <c r="A255" s="23"/>
    </row>
    <row r="256" spans="1:1" x14ac:dyDescent="0.25">
      <c r="A256" s="23"/>
    </row>
    <row r="257" spans="1:1" x14ac:dyDescent="0.25">
      <c r="A257" s="23"/>
    </row>
    <row r="258" spans="1:1" x14ac:dyDescent="0.25">
      <c r="A258" s="23"/>
    </row>
    <row r="259" spans="1:1" x14ac:dyDescent="0.25">
      <c r="A259" s="23"/>
    </row>
    <row r="260" spans="1:1" x14ac:dyDescent="0.25">
      <c r="A260" s="23"/>
    </row>
    <row r="261" spans="1:1" x14ac:dyDescent="0.25">
      <c r="A261" s="23"/>
    </row>
    <row r="262" spans="1:1" x14ac:dyDescent="0.25">
      <c r="A262" s="23"/>
    </row>
    <row r="263" spans="1:1" x14ac:dyDescent="0.25">
      <c r="A263" s="23"/>
    </row>
    <row r="264" spans="1:1" x14ac:dyDescent="0.25">
      <c r="A264" s="23"/>
    </row>
    <row r="265" spans="1:1" x14ac:dyDescent="0.25">
      <c r="A265" s="23"/>
    </row>
    <row r="266" spans="1:1" x14ac:dyDescent="0.25">
      <c r="A266" s="23"/>
    </row>
    <row r="267" spans="1:1" x14ac:dyDescent="0.25">
      <c r="A267" s="23"/>
    </row>
    <row r="268" spans="1:1" x14ac:dyDescent="0.25">
      <c r="A268" s="23"/>
    </row>
    <row r="269" spans="1:1" x14ac:dyDescent="0.25">
      <c r="A269" s="23"/>
    </row>
    <row r="270" spans="1:1" x14ac:dyDescent="0.25">
      <c r="A270" s="23"/>
    </row>
    <row r="271" spans="1:1" x14ac:dyDescent="0.25">
      <c r="A271" s="23"/>
    </row>
    <row r="272" spans="1:1" x14ac:dyDescent="0.25">
      <c r="A272" s="23"/>
    </row>
    <row r="273" spans="1:1" x14ac:dyDescent="0.25">
      <c r="A273" s="23"/>
    </row>
    <row r="274" spans="1:1" x14ac:dyDescent="0.25">
      <c r="A274" s="23"/>
    </row>
    <row r="275" spans="1:1" x14ac:dyDescent="0.25">
      <c r="A275" s="23"/>
    </row>
    <row r="276" spans="1:1" x14ac:dyDescent="0.25">
      <c r="A276" s="23"/>
    </row>
    <row r="277" spans="1:1" x14ac:dyDescent="0.25">
      <c r="A277" s="23"/>
    </row>
    <row r="278" spans="1:1" x14ac:dyDescent="0.25">
      <c r="A278" s="23"/>
    </row>
    <row r="279" spans="1:1" x14ac:dyDescent="0.25">
      <c r="A279" s="23"/>
    </row>
    <row r="280" spans="1:1" x14ac:dyDescent="0.25">
      <c r="A280" s="23"/>
    </row>
    <row r="281" spans="1:1" x14ac:dyDescent="0.25">
      <c r="A281" s="23"/>
    </row>
    <row r="282" spans="1:1" x14ac:dyDescent="0.25">
      <c r="A282" s="23"/>
    </row>
    <row r="283" spans="1:1" x14ac:dyDescent="0.25">
      <c r="A283" s="23"/>
    </row>
    <row r="284" spans="1:1" x14ac:dyDescent="0.25">
      <c r="A284" s="23"/>
    </row>
    <row r="285" spans="1:1" x14ac:dyDescent="0.25">
      <c r="A285" s="23"/>
    </row>
    <row r="286" spans="1:1" x14ac:dyDescent="0.25">
      <c r="A286" s="23"/>
    </row>
    <row r="287" spans="1:1" x14ac:dyDescent="0.25">
      <c r="A287" s="23"/>
    </row>
    <row r="288" spans="1:1" x14ac:dyDescent="0.25">
      <c r="A288" s="23"/>
    </row>
    <row r="289" spans="1:1" x14ac:dyDescent="0.25">
      <c r="A289" s="23"/>
    </row>
    <row r="290" spans="1:1" x14ac:dyDescent="0.25">
      <c r="A290" s="23"/>
    </row>
    <row r="291" spans="1:1" x14ac:dyDescent="0.25">
      <c r="A291" s="23"/>
    </row>
    <row r="292" spans="1:1" x14ac:dyDescent="0.25">
      <c r="A292" s="23"/>
    </row>
    <row r="293" spans="1:1" x14ac:dyDescent="0.25">
      <c r="A293" s="23"/>
    </row>
    <row r="294" spans="1:1" x14ac:dyDescent="0.25">
      <c r="A294" s="23"/>
    </row>
    <row r="295" spans="1:1" x14ac:dyDescent="0.25">
      <c r="A295" s="23"/>
    </row>
    <row r="296" spans="1:1" x14ac:dyDescent="0.25">
      <c r="A296" s="23"/>
    </row>
    <row r="297" spans="1:1" x14ac:dyDescent="0.25">
      <c r="A297" s="23"/>
    </row>
    <row r="298" spans="1:1" x14ac:dyDescent="0.25">
      <c r="A298" s="23"/>
    </row>
    <row r="299" spans="1:1" x14ac:dyDescent="0.25">
      <c r="A299" s="23"/>
    </row>
    <row r="300" spans="1:1" x14ac:dyDescent="0.25">
      <c r="A300" s="23"/>
    </row>
    <row r="301" spans="1:1" x14ac:dyDescent="0.25">
      <c r="A301" s="23"/>
    </row>
    <row r="302" spans="1:1" x14ac:dyDescent="0.25">
      <c r="A302" s="23"/>
    </row>
    <row r="303" spans="1:1" x14ac:dyDescent="0.25">
      <c r="A303" s="23"/>
    </row>
    <row r="304" spans="1:1" x14ac:dyDescent="0.25">
      <c r="A304" s="23"/>
    </row>
    <row r="305" spans="1:1" x14ac:dyDescent="0.25">
      <c r="A305" s="23"/>
    </row>
    <row r="306" spans="1:1" x14ac:dyDescent="0.25">
      <c r="A306" s="23"/>
    </row>
    <row r="307" spans="1:1" x14ac:dyDescent="0.25">
      <c r="A307" s="23"/>
    </row>
    <row r="308" spans="1:1" x14ac:dyDescent="0.25">
      <c r="A308" s="23"/>
    </row>
    <row r="309" spans="1:1" x14ac:dyDescent="0.25">
      <c r="A309" s="23"/>
    </row>
    <row r="310" spans="1:1" x14ac:dyDescent="0.25">
      <c r="A310" s="23"/>
    </row>
    <row r="311" spans="1:1" x14ac:dyDescent="0.25">
      <c r="A311" s="23"/>
    </row>
    <row r="312" spans="1:1" x14ac:dyDescent="0.25">
      <c r="A312" s="23"/>
    </row>
    <row r="313" spans="1:1" x14ac:dyDescent="0.25">
      <c r="A313" s="23"/>
    </row>
    <row r="314" spans="1:1" x14ac:dyDescent="0.25">
      <c r="A314" s="23"/>
    </row>
    <row r="315" spans="1:1" x14ac:dyDescent="0.25">
      <c r="A315" s="23"/>
    </row>
    <row r="316" spans="1:1" x14ac:dyDescent="0.25">
      <c r="A316" s="23"/>
    </row>
    <row r="317" spans="1:1" x14ac:dyDescent="0.25">
      <c r="A317" s="23"/>
    </row>
    <row r="318" spans="1:1" x14ac:dyDescent="0.25">
      <c r="A318" s="23"/>
    </row>
    <row r="319" spans="1:1" x14ac:dyDescent="0.25">
      <c r="A319" s="23"/>
    </row>
    <row r="320" spans="1:1" x14ac:dyDescent="0.25">
      <c r="A320" s="23"/>
    </row>
    <row r="321" spans="1:1" x14ac:dyDescent="0.25">
      <c r="A321" s="23"/>
    </row>
    <row r="322" spans="1:1" x14ac:dyDescent="0.25">
      <c r="A322" s="23"/>
    </row>
    <row r="323" spans="1:1" x14ac:dyDescent="0.25">
      <c r="A323" s="23"/>
    </row>
    <row r="324" spans="1:1" x14ac:dyDescent="0.25">
      <c r="A324" s="23"/>
    </row>
    <row r="325" spans="1:1" x14ac:dyDescent="0.25">
      <c r="A325" s="23"/>
    </row>
    <row r="326" spans="1:1" x14ac:dyDescent="0.25">
      <c r="A326" s="23"/>
    </row>
    <row r="327" spans="1:1" x14ac:dyDescent="0.25">
      <c r="A327" s="23"/>
    </row>
    <row r="328" spans="1:1" x14ac:dyDescent="0.25">
      <c r="A328" s="23"/>
    </row>
    <row r="329" spans="1:1" x14ac:dyDescent="0.25">
      <c r="A329" s="23"/>
    </row>
    <row r="330" spans="1:1" x14ac:dyDescent="0.25">
      <c r="A330" s="23"/>
    </row>
    <row r="331" spans="1:1" x14ac:dyDescent="0.25">
      <c r="A331" s="23"/>
    </row>
    <row r="332" spans="1:1" x14ac:dyDescent="0.25">
      <c r="A332" s="23"/>
    </row>
    <row r="333" spans="1:1" x14ac:dyDescent="0.25">
      <c r="A333" s="23"/>
    </row>
    <row r="334" spans="1:1" x14ac:dyDescent="0.25">
      <c r="A334" s="23"/>
    </row>
    <row r="335" spans="1:1" x14ac:dyDescent="0.25">
      <c r="A335" s="23"/>
    </row>
    <row r="336" spans="1:1" x14ac:dyDescent="0.25">
      <c r="A336" s="23"/>
    </row>
    <row r="337" spans="1:1" x14ac:dyDescent="0.25">
      <c r="A337" s="23"/>
    </row>
    <row r="338" spans="1:1" x14ac:dyDescent="0.25">
      <c r="A338" s="23"/>
    </row>
    <row r="339" spans="1:1" x14ac:dyDescent="0.25">
      <c r="A339" s="23"/>
    </row>
    <row r="340" spans="1:1" x14ac:dyDescent="0.25">
      <c r="A340" s="23"/>
    </row>
    <row r="341" spans="1:1" x14ac:dyDescent="0.25">
      <c r="A341" s="23"/>
    </row>
    <row r="342" spans="1:1" x14ac:dyDescent="0.25">
      <c r="A342" s="23"/>
    </row>
    <row r="343" spans="1:1" x14ac:dyDescent="0.25">
      <c r="A343" s="23"/>
    </row>
    <row r="344" spans="1:1" x14ac:dyDescent="0.25">
      <c r="A344" s="23"/>
    </row>
    <row r="345" spans="1:1" x14ac:dyDescent="0.25">
      <c r="A345" s="23"/>
    </row>
    <row r="346" spans="1:1" x14ac:dyDescent="0.25">
      <c r="A346" s="23"/>
    </row>
    <row r="347" spans="1:1" x14ac:dyDescent="0.25">
      <c r="A347" s="23"/>
    </row>
    <row r="348" spans="1:1" x14ac:dyDescent="0.25">
      <c r="A348" s="23"/>
    </row>
    <row r="349" spans="1:1" x14ac:dyDescent="0.25">
      <c r="A349" s="23"/>
    </row>
    <row r="350" spans="1:1" x14ac:dyDescent="0.25">
      <c r="A350" s="23"/>
    </row>
    <row r="351" spans="1:1" x14ac:dyDescent="0.25">
      <c r="A351" s="23"/>
    </row>
    <row r="352" spans="1:1" x14ac:dyDescent="0.25">
      <c r="A352" s="23"/>
    </row>
    <row r="353" spans="1:1" x14ac:dyDescent="0.25">
      <c r="A353" s="23"/>
    </row>
    <row r="354" spans="1:1" x14ac:dyDescent="0.25">
      <c r="A354" s="23"/>
    </row>
    <row r="355" spans="1:1" x14ac:dyDescent="0.25">
      <c r="A355" s="23"/>
    </row>
    <row r="356" spans="1:1" x14ac:dyDescent="0.25">
      <c r="A356" s="23"/>
    </row>
    <row r="357" spans="1:1" x14ac:dyDescent="0.25">
      <c r="A357" s="23"/>
    </row>
    <row r="358" spans="1:1" x14ac:dyDescent="0.25">
      <c r="A358" s="23"/>
    </row>
    <row r="359" spans="1:1" x14ac:dyDescent="0.25">
      <c r="A359" s="23"/>
    </row>
    <row r="360" spans="1:1" x14ac:dyDescent="0.25">
      <c r="A360" s="23"/>
    </row>
    <row r="361" spans="1:1" x14ac:dyDescent="0.25">
      <c r="A361" s="23"/>
    </row>
    <row r="362" spans="1:1" x14ac:dyDescent="0.25">
      <c r="A362" s="23"/>
    </row>
    <row r="363" spans="1:1" x14ac:dyDescent="0.25">
      <c r="A363" s="23"/>
    </row>
    <row r="364" spans="1:1" x14ac:dyDescent="0.25">
      <c r="A364" s="23"/>
    </row>
    <row r="365" spans="1:1" x14ac:dyDescent="0.25">
      <c r="A365" s="23"/>
    </row>
    <row r="366" spans="1:1" x14ac:dyDescent="0.25">
      <c r="A366" s="23"/>
    </row>
    <row r="367" spans="1:1" x14ac:dyDescent="0.25">
      <c r="A367" s="23"/>
    </row>
    <row r="368" spans="1:1" x14ac:dyDescent="0.25">
      <c r="A368" s="23"/>
    </row>
    <row r="369" spans="1:1" x14ac:dyDescent="0.25">
      <c r="A369" s="23"/>
    </row>
    <row r="370" spans="1:1" x14ac:dyDescent="0.25">
      <c r="A370" s="23"/>
    </row>
    <row r="371" spans="1:1" x14ac:dyDescent="0.25">
      <c r="A371" s="23"/>
    </row>
    <row r="372" spans="1:1" x14ac:dyDescent="0.25">
      <c r="A372" s="23"/>
    </row>
    <row r="373" spans="1:1" x14ac:dyDescent="0.25">
      <c r="A373" s="23"/>
    </row>
    <row r="374" spans="1:1" x14ac:dyDescent="0.25">
      <c r="A374" s="23"/>
    </row>
    <row r="375" spans="1:1" x14ac:dyDescent="0.25">
      <c r="A375" s="23"/>
    </row>
    <row r="376" spans="1:1" x14ac:dyDescent="0.25">
      <c r="A376" s="23"/>
    </row>
    <row r="377" spans="1:1" x14ac:dyDescent="0.25">
      <c r="A377" s="23"/>
    </row>
    <row r="378" spans="1:1" x14ac:dyDescent="0.25">
      <c r="A378" s="23"/>
    </row>
    <row r="379" spans="1:1" x14ac:dyDescent="0.25">
      <c r="A379" s="23"/>
    </row>
    <row r="380" spans="1:1" x14ac:dyDescent="0.25">
      <c r="A380" s="23"/>
    </row>
    <row r="381" spans="1:1" x14ac:dyDescent="0.25">
      <c r="A381" s="23"/>
    </row>
    <row r="382" spans="1:1" x14ac:dyDescent="0.25">
      <c r="A382" s="23"/>
    </row>
    <row r="383" spans="1:1" x14ac:dyDescent="0.25">
      <c r="A383" s="23"/>
    </row>
    <row r="384" spans="1:1" x14ac:dyDescent="0.25">
      <c r="A384" s="23"/>
    </row>
    <row r="385" spans="1:1" x14ac:dyDescent="0.25">
      <c r="A385" s="23"/>
    </row>
  </sheetData>
  <dataValidations count="3">
    <dataValidation type="list" allowBlank="1" showInputMessage="1" showErrorMessage="1" sqref="B11:B1048576" xr:uid="{8097F3B7-AED6-4270-B518-FB78BA9B1BC4}">
      <formula1>"Book, Dataset, Extension or Technical Bulletin, Journal Article, Journal Article or Report In-Prep, Map or Interactive Mapper, Report, Thesis/Dissertation, Tool, Web-page or Storyboard, Other (provide additional detail in comments),"</formula1>
    </dataValidation>
    <dataValidation type="list" allowBlank="1" showInputMessage="1" showErrorMessage="1" sqref="E2:E45" xr:uid="{0E36B6BB-4C84-499E-A795-FEB6856965A8}">
      <formula1>"inProgress, submitted/inReview, inRevision, inProofs, complete but no weblink"</formula1>
    </dataValidation>
    <dataValidation type="list" allowBlank="1" showInputMessage="1" showErrorMessage="1" sqref="B2:B10" xr:uid="{C2F84B39-BED7-4DB0-B0CA-19BF92BAC27E}">
      <formula1>"Report, Book, Extension or Technical Bulletin, Journal Article or Report In-Prep, Map or Interactive Map, Thesis/Dissertation, Conference Proceedings Paper (not abstract), Tool, Web-page or Storyboard, Other (provide additional detail in comments),"</formula1>
    </dataValidation>
  </dataValidations>
  <hyperlinks>
    <hyperlink ref="D3" r:id="rId1" xr:uid="{DA0295AD-6676-4D78-A3E9-517CE0FB16DC}"/>
    <hyperlink ref="D2" r:id="rId2" xr:uid="{CB34E41D-5230-4614-9045-3CB4AE70EEF9}"/>
    <hyperlink ref="D4" r:id="rId3" xr:uid="{BA22622D-E5C3-4D79-B002-B7D4B9FD78BA}"/>
    <hyperlink ref="D5" r:id="rId4" xr:uid="{1EC51790-5ACD-449D-98C5-0B846F612FEE}"/>
    <hyperlink ref="D6" r:id="rId5" xr:uid="{66605E11-1110-4B71-8C17-5F9BF5C5302A}"/>
  </hyperlinks>
  <pageMargins left="0.7" right="0.7" top="0.75" bottom="0.75" header="0.3" footer="0.3"/>
  <pageSetup orientation="portrait" r:id="rId6"/>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D6C5-D27F-4F1D-BA7E-5579E9F3431D}">
  <sheetPr>
    <tabColor rgb="FFFF0000"/>
  </sheetPr>
  <dimension ref="A1:I137"/>
  <sheetViews>
    <sheetView topLeftCell="A6" workbookViewId="0">
      <selection activeCell="H23" sqref="H23"/>
    </sheetView>
  </sheetViews>
  <sheetFormatPr defaultColWidth="9.140625" defaultRowHeight="15" x14ac:dyDescent="0.25"/>
  <cols>
    <col min="1" max="1" width="15.42578125" style="183" customWidth="1"/>
    <col min="2" max="2" width="38.42578125" style="213" customWidth="1"/>
    <col min="3" max="3" width="32.28515625" style="213" customWidth="1"/>
    <col min="4" max="4" width="110.7109375" style="213" customWidth="1"/>
    <col min="5" max="5" width="25.7109375" style="192" customWidth="1"/>
    <col min="6" max="6" width="20.42578125" style="192" bestFit="1" customWidth="1"/>
    <col min="7" max="7" width="15.7109375" style="243" customWidth="1"/>
    <col min="8" max="8" width="31.42578125" style="184" customWidth="1"/>
    <col min="9" max="9" width="57.42578125" style="326" customWidth="1"/>
    <col min="10" max="16384" width="9.140625" style="190"/>
  </cols>
  <sheetData>
    <row r="1" spans="1:9" s="322" customFormat="1" ht="69.75" thickBot="1" x14ac:dyDescent="0.3">
      <c r="A1" s="219" t="s">
        <v>364</v>
      </c>
      <c r="B1" s="314" t="s">
        <v>385</v>
      </c>
      <c r="C1" s="315" t="s">
        <v>386</v>
      </c>
      <c r="D1" s="316" t="s">
        <v>387</v>
      </c>
      <c r="E1" s="317" t="s">
        <v>388</v>
      </c>
      <c r="F1" s="318" t="s">
        <v>389</v>
      </c>
      <c r="G1" s="319" t="s">
        <v>390</v>
      </c>
      <c r="H1" s="320" t="s">
        <v>391</v>
      </c>
      <c r="I1" s="321" t="s">
        <v>368</v>
      </c>
    </row>
    <row r="2" spans="1:9" s="189" customFormat="1" ht="45" x14ac:dyDescent="0.25">
      <c r="A2" s="249" t="s">
        <v>299</v>
      </c>
      <c r="B2" s="323" t="s">
        <v>392</v>
      </c>
      <c r="C2" s="301" t="s">
        <v>393</v>
      </c>
      <c r="D2" s="301" t="s">
        <v>394</v>
      </c>
      <c r="E2" s="250" t="s">
        <v>395</v>
      </c>
      <c r="F2" s="328">
        <v>2019</v>
      </c>
      <c r="G2" s="329" t="s">
        <v>396</v>
      </c>
      <c r="H2" s="330"/>
      <c r="I2" s="324" t="s">
        <v>603</v>
      </c>
    </row>
    <row r="3" spans="1:9" ht="165" x14ac:dyDescent="0.25">
      <c r="A3" s="238" t="s">
        <v>299</v>
      </c>
      <c r="B3" s="323" t="s">
        <v>392</v>
      </c>
      <c r="C3" s="213" t="s">
        <v>393</v>
      </c>
      <c r="D3" s="213" t="s">
        <v>397</v>
      </c>
      <c r="E3" s="325" t="s">
        <v>398</v>
      </c>
      <c r="F3" s="331">
        <v>2019</v>
      </c>
      <c r="G3" s="329" t="s">
        <v>406</v>
      </c>
      <c r="H3" s="383" t="s">
        <v>604</v>
      </c>
      <c r="I3" s="326" t="s">
        <v>605</v>
      </c>
    </row>
    <row r="4" spans="1:9" ht="165" x14ac:dyDescent="0.25">
      <c r="A4" s="238" t="s">
        <v>565</v>
      </c>
      <c r="B4" s="323" t="s">
        <v>399</v>
      </c>
      <c r="C4" s="213" t="s">
        <v>393</v>
      </c>
      <c r="D4" s="239" t="s">
        <v>400</v>
      </c>
      <c r="E4" s="327" t="s">
        <v>401</v>
      </c>
      <c r="F4" s="331">
        <v>2019</v>
      </c>
      <c r="G4" s="329" t="s">
        <v>406</v>
      </c>
      <c r="H4" s="383" t="s">
        <v>604</v>
      </c>
      <c r="I4" s="326" t="s">
        <v>605</v>
      </c>
    </row>
    <row r="5" spans="1:9" ht="150" x14ac:dyDescent="0.25">
      <c r="A5" s="183" t="s">
        <v>197</v>
      </c>
      <c r="B5" s="323" t="s">
        <v>392</v>
      </c>
      <c r="C5" s="213" t="s">
        <v>201</v>
      </c>
      <c r="D5" s="239" t="s">
        <v>402</v>
      </c>
      <c r="E5" s="192" t="s">
        <v>403</v>
      </c>
      <c r="F5" s="331">
        <v>2017</v>
      </c>
      <c r="G5" s="329" t="s">
        <v>396</v>
      </c>
      <c r="H5" s="383" t="s">
        <v>602</v>
      </c>
      <c r="I5" s="326" t="s">
        <v>601</v>
      </c>
    </row>
    <row r="6" spans="1:9" ht="135" x14ac:dyDescent="0.25">
      <c r="A6" s="191" t="s">
        <v>197</v>
      </c>
      <c r="B6" s="323" t="s">
        <v>392</v>
      </c>
      <c r="C6" s="213" t="s">
        <v>201</v>
      </c>
      <c r="D6" s="213" t="s">
        <v>404</v>
      </c>
      <c r="E6" s="192" t="s">
        <v>405</v>
      </c>
      <c r="F6" s="331">
        <v>2016</v>
      </c>
      <c r="G6" s="333" t="s">
        <v>406</v>
      </c>
      <c r="H6" s="383" t="s">
        <v>600</v>
      </c>
      <c r="I6" s="326" t="s">
        <v>599</v>
      </c>
    </row>
    <row r="7" spans="1:9" ht="60" x14ac:dyDescent="0.25">
      <c r="A7" s="191" t="s">
        <v>197</v>
      </c>
      <c r="B7" s="323" t="s">
        <v>392</v>
      </c>
      <c r="C7" s="213" t="s">
        <v>201</v>
      </c>
      <c r="D7" s="213" t="s">
        <v>407</v>
      </c>
      <c r="E7" s="192" t="s">
        <v>408</v>
      </c>
      <c r="F7" s="381">
        <v>42826</v>
      </c>
      <c r="G7" s="333" t="s">
        <v>406</v>
      </c>
      <c r="H7" s="334">
        <v>2000</v>
      </c>
      <c r="I7" s="326" t="s">
        <v>606</v>
      </c>
    </row>
    <row r="8" spans="1:9" ht="60" x14ac:dyDescent="0.25">
      <c r="A8" s="191" t="s">
        <v>197</v>
      </c>
      <c r="B8" s="323" t="s">
        <v>392</v>
      </c>
      <c r="C8" s="213" t="s">
        <v>201</v>
      </c>
      <c r="D8" s="213" t="s">
        <v>409</v>
      </c>
      <c r="E8" s="192" t="s">
        <v>408</v>
      </c>
      <c r="F8" s="331">
        <v>2018</v>
      </c>
      <c r="G8" s="333" t="s">
        <v>406</v>
      </c>
      <c r="H8" s="383" t="s">
        <v>607</v>
      </c>
    </row>
    <row r="9" spans="1:9" ht="60" x14ac:dyDescent="0.25">
      <c r="A9" s="191" t="s">
        <v>197</v>
      </c>
      <c r="B9" s="323" t="s">
        <v>392</v>
      </c>
      <c r="C9" s="213" t="s">
        <v>201</v>
      </c>
      <c r="D9" s="213" t="s">
        <v>407</v>
      </c>
      <c r="E9" s="192" t="s">
        <v>410</v>
      </c>
      <c r="F9" s="381">
        <v>43556</v>
      </c>
      <c r="G9" s="333" t="s">
        <v>406</v>
      </c>
      <c r="H9" s="334">
        <v>2000</v>
      </c>
      <c r="I9" s="326" t="s">
        <v>606</v>
      </c>
    </row>
    <row r="10" spans="1:9" ht="60" x14ac:dyDescent="0.25">
      <c r="A10" s="191" t="s">
        <v>197</v>
      </c>
      <c r="B10" s="323" t="s">
        <v>392</v>
      </c>
      <c r="C10" s="213" t="s">
        <v>201</v>
      </c>
      <c r="D10" s="213" t="s">
        <v>407</v>
      </c>
      <c r="E10" s="192" t="s">
        <v>411</v>
      </c>
      <c r="F10" s="381">
        <v>43556</v>
      </c>
      <c r="G10" s="333" t="s">
        <v>406</v>
      </c>
      <c r="H10" s="334">
        <v>2000</v>
      </c>
      <c r="I10" s="326" t="s">
        <v>606</v>
      </c>
    </row>
    <row r="11" spans="1:9" ht="60" x14ac:dyDescent="0.25">
      <c r="A11" s="191" t="s">
        <v>197</v>
      </c>
      <c r="B11" s="323" t="s">
        <v>392</v>
      </c>
      <c r="C11" s="213" t="s">
        <v>201</v>
      </c>
      <c r="D11" s="213" t="s">
        <v>412</v>
      </c>
      <c r="E11" s="192" t="s">
        <v>413</v>
      </c>
      <c r="F11" s="331">
        <v>2016</v>
      </c>
      <c r="G11" s="333" t="s">
        <v>406</v>
      </c>
      <c r="H11" s="383" t="s">
        <v>608</v>
      </c>
      <c r="I11" s="326" t="s">
        <v>609</v>
      </c>
    </row>
    <row r="12" spans="1:9" x14ac:dyDescent="0.25">
      <c r="A12" s="191" t="s">
        <v>197</v>
      </c>
      <c r="B12" s="323" t="s">
        <v>392</v>
      </c>
      <c r="C12" s="213" t="s">
        <v>611</v>
      </c>
      <c r="D12" s="213" t="s">
        <v>610</v>
      </c>
      <c r="E12" s="192" t="s">
        <v>414</v>
      </c>
      <c r="F12" s="331">
        <v>2018</v>
      </c>
      <c r="G12" s="333" t="s">
        <v>406</v>
      </c>
      <c r="H12" s="334">
        <v>2000</v>
      </c>
    </row>
    <row r="13" spans="1:9" ht="60" x14ac:dyDescent="0.25">
      <c r="A13" s="191" t="s">
        <v>197</v>
      </c>
      <c r="B13" s="323" t="s">
        <v>392</v>
      </c>
      <c r="C13" s="213" t="s">
        <v>201</v>
      </c>
      <c r="D13" s="213" t="s">
        <v>409</v>
      </c>
      <c r="E13" s="192" t="s">
        <v>415</v>
      </c>
      <c r="F13" s="331">
        <v>2016</v>
      </c>
      <c r="G13" s="333" t="s">
        <v>406</v>
      </c>
      <c r="H13" s="383" t="s">
        <v>607</v>
      </c>
    </row>
    <row r="14" spans="1:9" ht="30" x14ac:dyDescent="0.25">
      <c r="A14" s="212" t="s">
        <v>288</v>
      </c>
      <c r="B14" s="323" t="s">
        <v>392</v>
      </c>
      <c r="C14" s="239" t="s">
        <v>612</v>
      </c>
      <c r="D14" s="239" t="s">
        <v>613</v>
      </c>
      <c r="E14" s="192" t="s">
        <v>416</v>
      </c>
      <c r="F14" s="331">
        <v>2018</v>
      </c>
      <c r="G14" s="333" t="s">
        <v>406</v>
      </c>
      <c r="H14" s="334">
        <v>1000</v>
      </c>
    </row>
    <row r="15" spans="1:9" x14ac:dyDescent="0.25">
      <c r="A15" s="212" t="s">
        <v>288</v>
      </c>
      <c r="B15" s="323" t="s">
        <v>392</v>
      </c>
      <c r="C15" s="213" t="s">
        <v>187</v>
      </c>
      <c r="D15" s="213" t="s">
        <v>614</v>
      </c>
      <c r="E15" s="192" t="s">
        <v>416</v>
      </c>
      <c r="F15" s="331">
        <v>2018</v>
      </c>
      <c r="G15" s="333" t="s">
        <v>406</v>
      </c>
      <c r="H15" s="334">
        <v>20000</v>
      </c>
    </row>
    <row r="16" spans="1:9" x14ac:dyDescent="0.25">
      <c r="A16" s="212"/>
      <c r="B16" s="323" t="s">
        <v>392</v>
      </c>
      <c r="C16" s="213" t="s">
        <v>417</v>
      </c>
      <c r="D16" s="213" t="s">
        <v>418</v>
      </c>
      <c r="E16" s="192" t="s">
        <v>419</v>
      </c>
      <c r="F16" s="331"/>
      <c r="G16" s="333" t="s">
        <v>406</v>
      </c>
      <c r="H16" s="334">
        <v>500</v>
      </c>
    </row>
    <row r="17" spans="1:9" x14ac:dyDescent="0.25">
      <c r="A17" s="212"/>
      <c r="B17" s="323" t="s">
        <v>392</v>
      </c>
      <c r="C17" s="213" t="s">
        <v>229</v>
      </c>
      <c r="D17" s="213" t="s">
        <v>420</v>
      </c>
      <c r="E17" s="192" t="s">
        <v>421</v>
      </c>
      <c r="F17" s="331">
        <v>2021</v>
      </c>
      <c r="G17" s="333" t="s">
        <v>406</v>
      </c>
      <c r="H17" s="334">
        <v>4500</v>
      </c>
    </row>
    <row r="18" spans="1:9" x14ac:dyDescent="0.25">
      <c r="A18" s="212"/>
      <c r="B18" s="323" t="s">
        <v>399</v>
      </c>
      <c r="C18" s="213" t="s">
        <v>229</v>
      </c>
      <c r="D18" s="213" t="s">
        <v>422</v>
      </c>
      <c r="E18" s="192" t="s">
        <v>423</v>
      </c>
      <c r="F18" s="331">
        <v>2021</v>
      </c>
      <c r="G18" s="333" t="s">
        <v>406</v>
      </c>
      <c r="H18" s="332"/>
    </row>
    <row r="19" spans="1:9" x14ac:dyDescent="0.25">
      <c r="A19" s="238" t="s">
        <v>590</v>
      </c>
      <c r="B19" s="323" t="s">
        <v>593</v>
      </c>
      <c r="C19" s="213" t="s">
        <v>14</v>
      </c>
      <c r="D19" s="213" t="s">
        <v>594</v>
      </c>
      <c r="E19" s="192" t="s">
        <v>20</v>
      </c>
      <c r="F19" s="381">
        <v>43586</v>
      </c>
      <c r="G19" s="333" t="s">
        <v>193</v>
      </c>
      <c r="H19" s="334">
        <v>1500</v>
      </c>
    </row>
    <row r="20" spans="1:9" x14ac:dyDescent="0.25">
      <c r="A20" s="238" t="s">
        <v>590</v>
      </c>
      <c r="B20" s="323" t="s">
        <v>593</v>
      </c>
      <c r="C20" s="213" t="s">
        <v>14</v>
      </c>
      <c r="D20" s="213" t="s">
        <v>595</v>
      </c>
      <c r="E20" s="192" t="s">
        <v>20</v>
      </c>
      <c r="F20" s="381">
        <v>43313</v>
      </c>
      <c r="G20" s="333" t="s">
        <v>193</v>
      </c>
      <c r="H20" s="334">
        <v>500</v>
      </c>
    </row>
    <row r="21" spans="1:9" ht="45" x14ac:dyDescent="0.25">
      <c r="A21" s="238" t="s">
        <v>590</v>
      </c>
      <c r="B21" s="323" t="s">
        <v>593</v>
      </c>
      <c r="C21" s="213" t="s">
        <v>14</v>
      </c>
      <c r="D21" s="239" t="s">
        <v>598</v>
      </c>
      <c r="E21" s="192" t="s">
        <v>597</v>
      </c>
      <c r="F21" s="381">
        <v>43497</v>
      </c>
      <c r="G21" s="333" t="s">
        <v>406</v>
      </c>
      <c r="H21" s="332"/>
    </row>
    <row r="22" spans="1:9" ht="45" x14ac:dyDescent="0.25">
      <c r="A22" s="212" t="s">
        <v>237</v>
      </c>
      <c r="B22" s="323" t="s">
        <v>392</v>
      </c>
      <c r="C22" s="239" t="s">
        <v>618</v>
      </c>
      <c r="D22" s="213" t="s">
        <v>619</v>
      </c>
      <c r="E22" s="207" t="s">
        <v>620</v>
      </c>
      <c r="F22" s="331">
        <v>2017</v>
      </c>
      <c r="G22" s="333" t="s">
        <v>193</v>
      </c>
      <c r="H22" s="334">
        <v>6000</v>
      </c>
      <c r="I22" s="326" t="s">
        <v>621</v>
      </c>
    </row>
    <row r="23" spans="1:9" x14ac:dyDescent="0.25">
      <c r="A23" s="212"/>
      <c r="B23" s="323"/>
    </row>
    <row r="24" spans="1:9" x14ac:dyDescent="0.25">
      <c r="A24" s="212"/>
      <c r="B24" s="323"/>
    </row>
    <row r="25" spans="1:9" x14ac:dyDescent="0.25">
      <c r="A25" s="212"/>
      <c r="B25" s="323"/>
    </row>
    <row r="26" spans="1:9" x14ac:dyDescent="0.25">
      <c r="A26" s="212"/>
      <c r="B26" s="323"/>
    </row>
    <row r="27" spans="1:9" x14ac:dyDescent="0.25">
      <c r="A27" s="212"/>
      <c r="B27" s="323"/>
    </row>
    <row r="28" spans="1:9" x14ac:dyDescent="0.25">
      <c r="A28" s="212"/>
      <c r="B28" s="323"/>
    </row>
    <row r="29" spans="1:9" x14ac:dyDescent="0.25">
      <c r="A29" s="212"/>
      <c r="B29" s="323"/>
    </row>
    <row r="30" spans="1:9" x14ac:dyDescent="0.25">
      <c r="A30" s="212"/>
      <c r="B30" s="323"/>
    </row>
    <row r="31" spans="1:9" x14ac:dyDescent="0.25">
      <c r="A31" s="212"/>
      <c r="B31" s="323"/>
    </row>
    <row r="32" spans="1:9" x14ac:dyDescent="0.25">
      <c r="A32" s="212"/>
      <c r="B32" s="323"/>
    </row>
    <row r="33" spans="1:2" x14ac:dyDescent="0.25">
      <c r="A33" s="212"/>
      <c r="B33" s="323"/>
    </row>
    <row r="34" spans="1:2" x14ac:dyDescent="0.25">
      <c r="A34" s="212"/>
      <c r="B34" s="323"/>
    </row>
    <row r="35" spans="1:2" x14ac:dyDescent="0.25">
      <c r="A35" s="212"/>
      <c r="B35" s="323"/>
    </row>
    <row r="36" spans="1:2" x14ac:dyDescent="0.25">
      <c r="A36" s="212"/>
      <c r="B36" s="323"/>
    </row>
    <row r="37" spans="1:2" x14ac:dyDescent="0.25">
      <c r="A37" s="212"/>
      <c r="B37" s="323"/>
    </row>
    <row r="38" spans="1:2" x14ac:dyDescent="0.25">
      <c r="A38" s="212"/>
      <c r="B38" s="323"/>
    </row>
    <row r="39" spans="1:2" x14ac:dyDescent="0.25">
      <c r="A39" s="212"/>
      <c r="B39" s="323"/>
    </row>
    <row r="40" spans="1:2" x14ac:dyDescent="0.25">
      <c r="A40" s="212"/>
      <c r="B40" s="323"/>
    </row>
    <row r="41" spans="1:2" x14ac:dyDescent="0.25">
      <c r="A41" s="212"/>
      <c r="B41" s="323"/>
    </row>
    <row r="42" spans="1:2" x14ac:dyDescent="0.25">
      <c r="A42" s="212"/>
      <c r="B42" s="323"/>
    </row>
    <row r="43" spans="1:2" x14ac:dyDescent="0.25">
      <c r="A43" s="212"/>
      <c r="B43" s="323"/>
    </row>
    <row r="44" spans="1:2" x14ac:dyDescent="0.25">
      <c r="A44" s="212"/>
      <c r="B44" s="323"/>
    </row>
    <row r="45" spans="1:2" x14ac:dyDescent="0.25">
      <c r="A45" s="212"/>
    </row>
    <row r="46" spans="1:2" x14ac:dyDescent="0.25">
      <c r="A46" s="212"/>
    </row>
    <row r="47" spans="1:2" x14ac:dyDescent="0.25">
      <c r="A47" s="212"/>
    </row>
    <row r="48" spans="1:2" x14ac:dyDescent="0.25">
      <c r="A48" s="212"/>
    </row>
    <row r="49" spans="1:1" x14ac:dyDescent="0.25">
      <c r="A49" s="212"/>
    </row>
    <row r="50" spans="1:1" x14ac:dyDescent="0.25">
      <c r="A50" s="212"/>
    </row>
    <row r="51" spans="1:1" x14ac:dyDescent="0.25">
      <c r="A51" s="212"/>
    </row>
    <row r="52" spans="1:1" x14ac:dyDescent="0.25">
      <c r="A52" s="212"/>
    </row>
    <row r="53" spans="1:1" x14ac:dyDescent="0.25">
      <c r="A53" s="212"/>
    </row>
    <row r="54" spans="1:1" x14ac:dyDescent="0.25">
      <c r="A54" s="212"/>
    </row>
    <row r="55" spans="1:1" x14ac:dyDescent="0.25">
      <c r="A55" s="212"/>
    </row>
    <row r="56" spans="1:1" x14ac:dyDescent="0.25">
      <c r="A56" s="212"/>
    </row>
    <row r="57" spans="1:1" x14ac:dyDescent="0.25">
      <c r="A57" s="212"/>
    </row>
    <row r="58" spans="1:1" x14ac:dyDescent="0.25">
      <c r="A58" s="212"/>
    </row>
    <row r="59" spans="1:1" x14ac:dyDescent="0.25">
      <c r="A59" s="212"/>
    </row>
    <row r="60" spans="1:1" x14ac:dyDescent="0.25">
      <c r="A60" s="212"/>
    </row>
    <row r="61" spans="1:1" x14ac:dyDescent="0.25">
      <c r="A61" s="212"/>
    </row>
    <row r="62" spans="1:1" x14ac:dyDescent="0.25">
      <c r="A62" s="212"/>
    </row>
    <row r="63" spans="1:1" x14ac:dyDescent="0.25">
      <c r="A63" s="212"/>
    </row>
    <row r="64" spans="1:1" x14ac:dyDescent="0.25">
      <c r="A64" s="212"/>
    </row>
    <row r="65" spans="1:1" x14ac:dyDescent="0.25">
      <c r="A65" s="212"/>
    </row>
    <row r="66" spans="1:1" x14ac:dyDescent="0.25">
      <c r="A66" s="212"/>
    </row>
    <row r="67" spans="1:1" x14ac:dyDescent="0.25">
      <c r="A67" s="212"/>
    </row>
    <row r="68" spans="1:1" x14ac:dyDescent="0.25">
      <c r="A68" s="212"/>
    </row>
    <row r="69" spans="1:1" x14ac:dyDescent="0.25">
      <c r="A69" s="212"/>
    </row>
    <row r="70" spans="1:1" x14ac:dyDescent="0.25">
      <c r="A70" s="212"/>
    </row>
    <row r="71" spans="1:1" x14ac:dyDescent="0.25">
      <c r="A71" s="212"/>
    </row>
    <row r="72" spans="1:1" x14ac:dyDescent="0.25">
      <c r="A72" s="212"/>
    </row>
    <row r="73" spans="1:1" x14ac:dyDescent="0.25">
      <c r="A73" s="212"/>
    </row>
    <row r="74" spans="1:1" x14ac:dyDescent="0.25">
      <c r="A74" s="212"/>
    </row>
    <row r="75" spans="1:1" x14ac:dyDescent="0.25">
      <c r="A75" s="212"/>
    </row>
    <row r="76" spans="1:1" x14ac:dyDescent="0.25">
      <c r="A76" s="212"/>
    </row>
    <row r="77" spans="1:1" x14ac:dyDescent="0.25">
      <c r="A77" s="212"/>
    </row>
    <row r="78" spans="1:1" x14ac:dyDescent="0.25">
      <c r="A78" s="212"/>
    </row>
    <row r="79" spans="1:1" x14ac:dyDescent="0.25">
      <c r="A79" s="212"/>
    </row>
    <row r="80" spans="1:1" x14ac:dyDescent="0.25">
      <c r="A80" s="212"/>
    </row>
    <row r="81" spans="1:1" x14ac:dyDescent="0.25">
      <c r="A81" s="212"/>
    </row>
    <row r="82" spans="1:1" x14ac:dyDescent="0.25">
      <c r="A82" s="212"/>
    </row>
    <row r="83" spans="1:1" x14ac:dyDescent="0.25">
      <c r="A83" s="212"/>
    </row>
    <row r="84" spans="1:1" x14ac:dyDescent="0.25">
      <c r="A84" s="212"/>
    </row>
    <row r="85" spans="1:1" x14ac:dyDescent="0.25">
      <c r="A85" s="212"/>
    </row>
    <row r="86" spans="1:1" x14ac:dyDescent="0.25">
      <c r="A86" s="212"/>
    </row>
    <row r="87" spans="1:1" x14ac:dyDescent="0.25">
      <c r="A87" s="212"/>
    </row>
    <row r="88" spans="1:1" x14ac:dyDescent="0.25">
      <c r="A88" s="212"/>
    </row>
    <row r="89" spans="1:1" x14ac:dyDescent="0.25">
      <c r="A89" s="212"/>
    </row>
    <row r="90" spans="1:1" x14ac:dyDescent="0.25">
      <c r="A90" s="212"/>
    </row>
    <row r="91" spans="1:1" x14ac:dyDescent="0.25">
      <c r="A91" s="212"/>
    </row>
    <row r="92" spans="1:1" x14ac:dyDescent="0.25">
      <c r="A92" s="212"/>
    </row>
    <row r="93" spans="1:1" x14ac:dyDescent="0.25">
      <c r="A93" s="212"/>
    </row>
    <row r="94" spans="1:1" x14ac:dyDescent="0.25">
      <c r="A94" s="212"/>
    </row>
    <row r="95" spans="1:1" x14ac:dyDescent="0.25">
      <c r="A95" s="212"/>
    </row>
    <row r="96" spans="1:1" x14ac:dyDescent="0.25">
      <c r="A96" s="212"/>
    </row>
    <row r="97" spans="1:1" x14ac:dyDescent="0.25">
      <c r="A97" s="212"/>
    </row>
    <row r="98" spans="1:1" x14ac:dyDescent="0.25">
      <c r="A98" s="212"/>
    </row>
    <row r="99" spans="1:1" x14ac:dyDescent="0.25">
      <c r="A99" s="212"/>
    </row>
    <row r="100" spans="1:1" x14ac:dyDescent="0.25">
      <c r="A100" s="212"/>
    </row>
    <row r="101" spans="1:1" x14ac:dyDescent="0.25">
      <c r="A101" s="212"/>
    </row>
    <row r="102" spans="1:1" x14ac:dyDescent="0.25">
      <c r="A102" s="212"/>
    </row>
    <row r="103" spans="1:1" x14ac:dyDescent="0.25">
      <c r="A103" s="212"/>
    </row>
    <row r="104" spans="1:1" x14ac:dyDescent="0.25">
      <c r="A104" s="212"/>
    </row>
    <row r="105" spans="1:1" x14ac:dyDescent="0.25">
      <c r="A105" s="212"/>
    </row>
    <row r="106" spans="1:1" x14ac:dyDescent="0.25">
      <c r="A106" s="212"/>
    </row>
    <row r="107" spans="1:1" x14ac:dyDescent="0.25">
      <c r="A107" s="212"/>
    </row>
    <row r="108" spans="1:1" x14ac:dyDescent="0.25">
      <c r="A108" s="212"/>
    </row>
    <row r="109" spans="1:1" x14ac:dyDescent="0.25">
      <c r="A109" s="212"/>
    </row>
    <row r="110" spans="1:1" x14ac:dyDescent="0.25">
      <c r="A110" s="212"/>
    </row>
    <row r="111" spans="1:1" x14ac:dyDescent="0.25">
      <c r="A111" s="212"/>
    </row>
    <row r="112" spans="1:1" x14ac:dyDescent="0.25">
      <c r="A112" s="212"/>
    </row>
    <row r="113" spans="1:1" x14ac:dyDescent="0.25">
      <c r="A113" s="212"/>
    </row>
    <row r="114" spans="1:1" x14ac:dyDescent="0.25">
      <c r="A114" s="212"/>
    </row>
    <row r="115" spans="1:1" x14ac:dyDescent="0.25">
      <c r="A115" s="212"/>
    </row>
    <row r="116" spans="1:1" x14ac:dyDescent="0.25">
      <c r="A116" s="212"/>
    </row>
    <row r="117" spans="1:1" x14ac:dyDescent="0.25">
      <c r="A117" s="212"/>
    </row>
    <row r="118" spans="1:1" x14ac:dyDescent="0.25">
      <c r="A118" s="212"/>
    </row>
    <row r="119" spans="1:1" x14ac:dyDescent="0.25">
      <c r="A119" s="212"/>
    </row>
    <row r="120" spans="1:1" x14ac:dyDescent="0.25">
      <c r="A120" s="212"/>
    </row>
    <row r="121" spans="1:1" x14ac:dyDescent="0.25">
      <c r="A121" s="212"/>
    </row>
    <row r="122" spans="1:1" x14ac:dyDescent="0.25">
      <c r="A122" s="212"/>
    </row>
    <row r="123" spans="1:1" x14ac:dyDescent="0.25">
      <c r="A123" s="212"/>
    </row>
    <row r="124" spans="1:1" x14ac:dyDescent="0.25">
      <c r="A124" s="212"/>
    </row>
    <row r="125" spans="1:1" x14ac:dyDescent="0.25">
      <c r="A125" s="212"/>
    </row>
    <row r="126" spans="1:1" x14ac:dyDescent="0.25">
      <c r="A126" s="212"/>
    </row>
    <row r="127" spans="1:1" x14ac:dyDescent="0.25">
      <c r="A127" s="212"/>
    </row>
    <row r="128" spans="1:1" x14ac:dyDescent="0.25">
      <c r="A128" s="212"/>
    </row>
    <row r="129" spans="1:1" x14ac:dyDescent="0.25">
      <c r="A129" s="212"/>
    </row>
    <row r="130" spans="1:1" x14ac:dyDescent="0.25">
      <c r="A130" s="212"/>
    </row>
    <row r="131" spans="1:1" x14ac:dyDescent="0.25">
      <c r="A131" s="212"/>
    </row>
    <row r="132" spans="1:1" x14ac:dyDescent="0.25">
      <c r="A132" s="212"/>
    </row>
    <row r="133" spans="1:1" x14ac:dyDescent="0.25">
      <c r="A133" s="212"/>
    </row>
    <row r="134" spans="1:1" x14ac:dyDescent="0.25">
      <c r="A134" s="212"/>
    </row>
    <row r="135" spans="1:1" x14ac:dyDescent="0.25">
      <c r="A135" s="212"/>
    </row>
    <row r="136" spans="1:1" x14ac:dyDescent="0.25">
      <c r="A136" s="212"/>
    </row>
    <row r="137" spans="1:1" x14ac:dyDescent="0.25">
      <c r="A137" s="212"/>
    </row>
  </sheetData>
  <dataValidations count="2">
    <dataValidation type="list" allowBlank="1" showInputMessage="1" showErrorMessage="1" sqref="B2:B44" xr:uid="{684193AD-6DA1-4F01-A268-4D499881C95D}">
      <formula1>"Award, Achievement, Grant"</formula1>
    </dataValidation>
    <dataValidation type="list" allowBlank="1" showInputMessage="1" showErrorMessage="1" sqref="G2:G44" xr:uid="{EF839079-CBD2-4092-9064-3563D4476245}">
      <formula1>"PI, CO-PI, Student, Other"</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DC7A-4C68-4BED-9FB2-8FC2F6345AB0}">
  <sheetPr>
    <tabColor theme="5"/>
  </sheetPr>
  <dimension ref="A1:G545"/>
  <sheetViews>
    <sheetView workbookViewId="0">
      <selection activeCell="E15" sqref="E15"/>
    </sheetView>
  </sheetViews>
  <sheetFormatPr defaultColWidth="8.85546875" defaultRowHeight="15" x14ac:dyDescent="0.25"/>
  <cols>
    <col min="1" max="1" width="23.5703125" style="4" customWidth="1"/>
    <col min="2" max="2" width="116.28515625" style="5" customWidth="1"/>
    <col min="3" max="3" width="15.5703125" style="5" customWidth="1"/>
    <col min="4" max="4" width="13.28515625" style="6" customWidth="1"/>
    <col min="5" max="5" width="29.28515625" style="2" customWidth="1"/>
    <col min="6" max="6" width="33" style="52" customWidth="1"/>
    <col min="7" max="7" width="33" style="54" customWidth="1"/>
  </cols>
  <sheetData>
    <row r="1" spans="1:7" s="39" customFormat="1" ht="63" x14ac:dyDescent="0.25">
      <c r="A1" s="38" t="s">
        <v>364</v>
      </c>
      <c r="B1" s="29" t="s">
        <v>424</v>
      </c>
      <c r="C1" s="133" t="s">
        <v>425</v>
      </c>
      <c r="D1" s="74" t="s">
        <v>426</v>
      </c>
      <c r="E1" s="105" t="s">
        <v>427</v>
      </c>
      <c r="F1" s="51" t="s">
        <v>428</v>
      </c>
      <c r="G1" s="53" t="s">
        <v>368</v>
      </c>
    </row>
    <row r="2" spans="1:7" x14ac:dyDescent="0.25">
      <c r="A2" s="238" t="s">
        <v>590</v>
      </c>
      <c r="B2" s="58" t="s">
        <v>14</v>
      </c>
      <c r="C2" s="103" t="s">
        <v>591</v>
      </c>
      <c r="D2" s="104">
        <v>300</v>
      </c>
      <c r="E2" s="62" t="s">
        <v>443</v>
      </c>
      <c r="F2" s="70" t="s">
        <v>20</v>
      </c>
      <c r="G2" s="71"/>
    </row>
    <row r="3" spans="1:7" ht="330" x14ac:dyDescent="0.25">
      <c r="A3" s="238" t="s">
        <v>237</v>
      </c>
      <c r="B3" s="5" t="s">
        <v>627</v>
      </c>
      <c r="C3" s="103" t="s">
        <v>628</v>
      </c>
      <c r="E3" s="2" t="s">
        <v>630</v>
      </c>
      <c r="F3" s="70" t="s">
        <v>20</v>
      </c>
      <c r="G3" s="386" t="s">
        <v>629</v>
      </c>
    </row>
    <row r="4" spans="1:7" x14ac:dyDescent="0.25">
      <c r="A4" s="238" t="s">
        <v>237</v>
      </c>
      <c r="B4" s="5" t="s">
        <v>638</v>
      </c>
      <c r="C4" s="103" t="s">
        <v>628</v>
      </c>
      <c r="E4" s="2" t="s">
        <v>193</v>
      </c>
      <c r="F4" s="70" t="s">
        <v>20</v>
      </c>
      <c r="G4" s="71"/>
    </row>
    <row r="5" spans="1:7" x14ac:dyDescent="0.25">
      <c r="A5" s="23" t="s">
        <v>270</v>
      </c>
      <c r="B5" s="5" t="s">
        <v>638</v>
      </c>
      <c r="C5" s="103" t="s">
        <v>628</v>
      </c>
      <c r="E5" s="2" t="s">
        <v>193</v>
      </c>
      <c r="F5" s="70" t="s">
        <v>20</v>
      </c>
      <c r="G5" s="71"/>
    </row>
    <row r="6" spans="1:7" x14ac:dyDescent="0.25">
      <c r="A6" s="23" t="s">
        <v>590</v>
      </c>
      <c r="B6" s="5" t="s">
        <v>638</v>
      </c>
      <c r="C6" s="103" t="s">
        <v>628</v>
      </c>
      <c r="E6" s="2" t="s">
        <v>193</v>
      </c>
      <c r="F6" s="70" t="s">
        <v>20</v>
      </c>
      <c r="G6" s="71"/>
    </row>
    <row r="7" spans="1:7" x14ac:dyDescent="0.25">
      <c r="A7" s="23" t="s">
        <v>315</v>
      </c>
      <c r="B7" s="5" t="s">
        <v>638</v>
      </c>
      <c r="C7" s="103" t="s">
        <v>628</v>
      </c>
      <c r="E7" s="2" t="s">
        <v>193</v>
      </c>
      <c r="F7" s="70" t="s">
        <v>20</v>
      </c>
      <c r="G7" s="71"/>
    </row>
    <row r="8" spans="1:7" x14ac:dyDescent="0.25">
      <c r="A8" s="23" t="s">
        <v>590</v>
      </c>
      <c r="B8" s="5" t="s">
        <v>639</v>
      </c>
      <c r="C8" s="103" t="s">
        <v>628</v>
      </c>
      <c r="E8" s="2" t="s">
        <v>193</v>
      </c>
      <c r="F8" s="70" t="s">
        <v>20</v>
      </c>
      <c r="G8" s="71"/>
    </row>
    <row r="9" spans="1:7" x14ac:dyDescent="0.25">
      <c r="A9" s="23" t="s">
        <v>315</v>
      </c>
      <c r="B9" s="5" t="s">
        <v>639</v>
      </c>
      <c r="C9" s="103" t="s">
        <v>628</v>
      </c>
      <c r="E9" s="2" t="s">
        <v>193</v>
      </c>
      <c r="F9" s="70" t="s">
        <v>20</v>
      </c>
      <c r="G9" s="71"/>
    </row>
    <row r="10" spans="1:7" x14ac:dyDescent="0.25">
      <c r="A10" s="23"/>
      <c r="C10" s="103"/>
      <c r="F10" s="70"/>
      <c r="G10" s="71"/>
    </row>
    <row r="11" spans="1:7" x14ac:dyDescent="0.25">
      <c r="A11" s="23"/>
      <c r="C11" s="103"/>
      <c r="F11" s="70"/>
      <c r="G11" s="71"/>
    </row>
    <row r="12" spans="1:7" x14ac:dyDescent="0.25">
      <c r="A12" s="23"/>
      <c r="C12" s="103"/>
      <c r="F12" s="70"/>
      <c r="G12" s="71"/>
    </row>
    <row r="13" spans="1:7" x14ac:dyDescent="0.25">
      <c r="A13" s="23"/>
      <c r="C13" s="103"/>
      <c r="F13" s="70"/>
      <c r="G13" s="71"/>
    </row>
    <row r="14" spans="1:7" x14ac:dyDescent="0.25">
      <c r="A14" s="23"/>
      <c r="C14" s="103"/>
      <c r="F14" s="70"/>
      <c r="G14" s="71"/>
    </row>
    <row r="15" spans="1:7" x14ac:dyDescent="0.25">
      <c r="A15" s="23"/>
      <c r="C15" s="103"/>
      <c r="F15" s="70"/>
      <c r="G15" s="71"/>
    </row>
    <row r="16" spans="1:7" x14ac:dyDescent="0.25">
      <c r="A16" s="23"/>
      <c r="C16" s="103"/>
      <c r="F16" s="70"/>
      <c r="G16" s="71"/>
    </row>
    <row r="17" spans="1:3" x14ac:dyDescent="0.25">
      <c r="A17" s="23"/>
      <c r="C17" s="103"/>
    </row>
    <row r="18" spans="1:3" x14ac:dyDescent="0.25">
      <c r="A18" s="23"/>
      <c r="C18" s="103"/>
    </row>
    <row r="19" spans="1:3" x14ac:dyDescent="0.25">
      <c r="A19" s="23"/>
      <c r="C19" s="103"/>
    </row>
    <row r="20" spans="1:3" x14ac:dyDescent="0.25">
      <c r="A20" s="23"/>
      <c r="C20" s="103"/>
    </row>
    <row r="21" spans="1:3" x14ac:dyDescent="0.25">
      <c r="A21" s="23"/>
      <c r="C21" s="103"/>
    </row>
    <row r="22" spans="1:3" x14ac:dyDescent="0.25">
      <c r="A22" s="23"/>
      <c r="C22" s="103"/>
    </row>
    <row r="23" spans="1:3" x14ac:dyDescent="0.25">
      <c r="A23" s="23"/>
      <c r="C23" s="103"/>
    </row>
    <row r="24" spans="1:3" x14ac:dyDescent="0.25">
      <c r="A24" s="23"/>
      <c r="C24" s="103"/>
    </row>
    <row r="25" spans="1:3" x14ac:dyDescent="0.25">
      <c r="A25" s="23"/>
      <c r="C25" s="103"/>
    </row>
    <row r="26" spans="1:3" x14ac:dyDescent="0.25">
      <c r="A26" s="23"/>
      <c r="C26" s="103"/>
    </row>
    <row r="27" spans="1:3" x14ac:dyDescent="0.25">
      <c r="A27" s="23"/>
      <c r="C27" s="103"/>
    </row>
    <row r="28" spans="1:3" x14ac:dyDescent="0.25">
      <c r="A28" s="23"/>
      <c r="C28" s="103"/>
    </row>
    <row r="29" spans="1:3" x14ac:dyDescent="0.25">
      <c r="A29" s="23"/>
      <c r="C29" s="103"/>
    </row>
    <row r="30" spans="1:3" x14ac:dyDescent="0.25">
      <c r="A30" s="23"/>
      <c r="C30" s="103"/>
    </row>
    <row r="31" spans="1:3" x14ac:dyDescent="0.25">
      <c r="A31" s="23"/>
      <c r="C31" s="103"/>
    </row>
    <row r="32" spans="1:3" x14ac:dyDescent="0.25">
      <c r="A32" s="23"/>
      <c r="C32" s="103"/>
    </row>
    <row r="33" spans="1:3" x14ac:dyDescent="0.25">
      <c r="A33" s="23"/>
      <c r="C33" s="103"/>
    </row>
    <row r="34" spans="1:3" x14ac:dyDescent="0.25">
      <c r="A34" s="23"/>
      <c r="C34" s="103"/>
    </row>
    <row r="35" spans="1:3" x14ac:dyDescent="0.25">
      <c r="A35" s="23"/>
      <c r="C35" s="103"/>
    </row>
    <row r="36" spans="1:3" x14ac:dyDescent="0.25">
      <c r="A36" s="23"/>
      <c r="C36" s="103"/>
    </row>
    <row r="37" spans="1:3" x14ac:dyDescent="0.25">
      <c r="A37" s="23"/>
      <c r="C37" s="103"/>
    </row>
    <row r="38" spans="1:3" x14ac:dyDescent="0.25">
      <c r="A38" s="23"/>
      <c r="C38" s="103"/>
    </row>
    <row r="39" spans="1:3" x14ac:dyDescent="0.25">
      <c r="A39" s="23"/>
      <c r="C39" s="103"/>
    </row>
    <row r="40" spans="1:3" x14ac:dyDescent="0.25">
      <c r="A40" s="23"/>
      <c r="C40" s="103"/>
    </row>
    <row r="41" spans="1:3" x14ac:dyDescent="0.25">
      <c r="A41" s="23"/>
      <c r="C41" s="103"/>
    </row>
    <row r="42" spans="1:3" x14ac:dyDescent="0.25">
      <c r="A42" s="23"/>
      <c r="C42" s="103"/>
    </row>
    <row r="43" spans="1:3" x14ac:dyDescent="0.25">
      <c r="A43" s="23"/>
      <c r="C43" s="103"/>
    </row>
    <row r="44" spans="1:3" x14ac:dyDescent="0.25">
      <c r="A44" s="23"/>
      <c r="C44" s="103"/>
    </row>
    <row r="45" spans="1:3" x14ac:dyDescent="0.25">
      <c r="A45" s="23"/>
      <c r="C45" s="103"/>
    </row>
    <row r="46" spans="1:3" x14ac:dyDescent="0.25">
      <c r="A46" s="23"/>
      <c r="C46" s="103"/>
    </row>
    <row r="47" spans="1:3" x14ac:dyDescent="0.25">
      <c r="A47" s="23"/>
      <c r="C47" s="103"/>
    </row>
    <row r="48" spans="1:3" x14ac:dyDescent="0.25">
      <c r="A48" s="23"/>
      <c r="C48" s="103"/>
    </row>
    <row r="49" spans="1:3" x14ac:dyDescent="0.25">
      <c r="A49" s="23"/>
      <c r="C49" s="103"/>
    </row>
    <row r="50" spans="1:3" x14ac:dyDescent="0.25">
      <c r="A50" s="23"/>
      <c r="C50" s="103"/>
    </row>
    <row r="51" spans="1:3" x14ac:dyDescent="0.25">
      <c r="A51" s="23"/>
      <c r="C51" s="103"/>
    </row>
    <row r="52" spans="1:3" x14ac:dyDescent="0.25">
      <c r="A52" s="23"/>
      <c r="C52" s="103"/>
    </row>
    <row r="53" spans="1:3" x14ac:dyDescent="0.25">
      <c r="A53" s="23"/>
      <c r="C53" s="103"/>
    </row>
    <row r="54" spans="1:3" x14ac:dyDescent="0.25">
      <c r="A54" s="23"/>
      <c r="C54" s="103"/>
    </row>
    <row r="55" spans="1:3" x14ac:dyDescent="0.25">
      <c r="A55" s="23"/>
      <c r="C55" s="103"/>
    </row>
    <row r="56" spans="1:3" x14ac:dyDescent="0.25">
      <c r="A56" s="23"/>
      <c r="C56" s="103"/>
    </row>
    <row r="57" spans="1:3" x14ac:dyDescent="0.25">
      <c r="A57" s="23"/>
      <c r="C57" s="103"/>
    </row>
    <row r="58" spans="1:3" x14ac:dyDescent="0.25">
      <c r="A58" s="23"/>
      <c r="C58" s="103"/>
    </row>
    <row r="59" spans="1:3" x14ac:dyDescent="0.25">
      <c r="A59" s="23"/>
      <c r="C59" s="103"/>
    </row>
    <row r="60" spans="1:3" x14ac:dyDescent="0.25">
      <c r="A60" s="23"/>
      <c r="C60" s="103"/>
    </row>
    <row r="61" spans="1:3" x14ac:dyDescent="0.25">
      <c r="A61" s="23"/>
      <c r="C61" s="103"/>
    </row>
    <row r="62" spans="1:3" x14ac:dyDescent="0.25">
      <c r="A62" s="23"/>
      <c r="C62" s="103"/>
    </row>
    <row r="63" spans="1:3" x14ac:dyDescent="0.25">
      <c r="A63" s="23"/>
      <c r="C63" s="103"/>
    </row>
    <row r="64" spans="1:3" x14ac:dyDescent="0.25">
      <c r="A64" s="23"/>
      <c r="C64" s="103"/>
    </row>
    <row r="65" spans="1:3" x14ac:dyDescent="0.25">
      <c r="A65" s="23"/>
      <c r="C65" s="103"/>
    </row>
    <row r="66" spans="1:3" x14ac:dyDescent="0.25">
      <c r="A66" s="23"/>
      <c r="C66" s="103"/>
    </row>
    <row r="67" spans="1:3" x14ac:dyDescent="0.25">
      <c r="A67" s="23"/>
      <c r="C67" s="103"/>
    </row>
    <row r="68" spans="1:3" x14ac:dyDescent="0.25">
      <c r="A68" s="23"/>
      <c r="C68" s="103"/>
    </row>
    <row r="69" spans="1:3" x14ac:dyDescent="0.25">
      <c r="A69" s="23"/>
      <c r="C69" s="103"/>
    </row>
    <row r="70" spans="1:3" x14ac:dyDescent="0.25">
      <c r="A70" s="23"/>
      <c r="C70" s="103"/>
    </row>
    <row r="71" spans="1:3" x14ac:dyDescent="0.25">
      <c r="A71" s="23"/>
      <c r="C71" s="103"/>
    </row>
    <row r="72" spans="1:3" x14ac:dyDescent="0.25">
      <c r="A72" s="23"/>
      <c r="C72" s="103"/>
    </row>
    <row r="73" spans="1:3" x14ac:dyDescent="0.25">
      <c r="A73" s="23"/>
      <c r="C73" s="103"/>
    </row>
    <row r="74" spans="1:3" x14ac:dyDescent="0.25">
      <c r="A74" s="23"/>
      <c r="C74" s="103"/>
    </row>
    <row r="75" spans="1:3" x14ac:dyDescent="0.25">
      <c r="A75" s="23"/>
      <c r="C75" s="103"/>
    </row>
    <row r="76" spans="1:3" x14ac:dyDescent="0.25">
      <c r="A76" s="23"/>
    </row>
    <row r="77" spans="1:3" x14ac:dyDescent="0.25">
      <c r="A77" s="23"/>
    </row>
    <row r="78" spans="1:3" x14ac:dyDescent="0.25">
      <c r="A78" s="23"/>
    </row>
    <row r="79" spans="1:3" x14ac:dyDescent="0.25">
      <c r="A79" s="23"/>
    </row>
    <row r="80" spans="1:3" x14ac:dyDescent="0.25">
      <c r="A80" s="23"/>
    </row>
    <row r="81" spans="1:1" x14ac:dyDescent="0.25">
      <c r="A81" s="23"/>
    </row>
    <row r="82" spans="1:1" x14ac:dyDescent="0.25">
      <c r="A82" s="23"/>
    </row>
    <row r="83" spans="1:1" x14ac:dyDescent="0.25">
      <c r="A83" s="23"/>
    </row>
    <row r="84" spans="1:1" x14ac:dyDescent="0.25">
      <c r="A84" s="23"/>
    </row>
    <row r="85" spans="1:1" x14ac:dyDescent="0.25">
      <c r="A85" s="23"/>
    </row>
    <row r="86" spans="1:1" x14ac:dyDescent="0.25">
      <c r="A86" s="23"/>
    </row>
    <row r="87" spans="1:1" x14ac:dyDescent="0.25">
      <c r="A87" s="23"/>
    </row>
    <row r="88" spans="1:1" x14ac:dyDescent="0.25">
      <c r="A88" s="23"/>
    </row>
    <row r="89" spans="1:1" x14ac:dyDescent="0.25">
      <c r="A89" s="23"/>
    </row>
    <row r="90" spans="1:1" x14ac:dyDescent="0.25">
      <c r="A90" s="23"/>
    </row>
    <row r="91" spans="1:1" x14ac:dyDescent="0.25">
      <c r="A91" s="23"/>
    </row>
    <row r="92" spans="1:1" x14ac:dyDescent="0.25">
      <c r="A92" s="23"/>
    </row>
    <row r="93" spans="1:1" x14ac:dyDescent="0.25">
      <c r="A93" s="23"/>
    </row>
    <row r="94" spans="1:1" x14ac:dyDescent="0.25">
      <c r="A94" s="23"/>
    </row>
    <row r="95" spans="1:1" x14ac:dyDescent="0.25">
      <c r="A95" s="23"/>
    </row>
    <row r="96" spans="1:1" x14ac:dyDescent="0.25">
      <c r="A96" s="23"/>
    </row>
    <row r="97" spans="1:1" x14ac:dyDescent="0.25">
      <c r="A97" s="23"/>
    </row>
    <row r="98" spans="1:1" x14ac:dyDescent="0.25">
      <c r="A98" s="23"/>
    </row>
    <row r="99" spans="1:1" x14ac:dyDescent="0.25">
      <c r="A99" s="23"/>
    </row>
    <row r="100" spans="1:1" x14ac:dyDescent="0.25">
      <c r="A100" s="23"/>
    </row>
    <row r="101" spans="1:1" x14ac:dyDescent="0.25">
      <c r="A101" s="23"/>
    </row>
    <row r="102" spans="1:1" x14ac:dyDescent="0.25">
      <c r="A102" s="23"/>
    </row>
    <row r="103" spans="1:1" x14ac:dyDescent="0.25">
      <c r="A103" s="23"/>
    </row>
    <row r="104" spans="1:1" x14ac:dyDescent="0.25">
      <c r="A104" s="23"/>
    </row>
    <row r="105" spans="1:1" x14ac:dyDescent="0.25">
      <c r="A105" s="23"/>
    </row>
    <row r="106" spans="1:1" x14ac:dyDescent="0.25">
      <c r="A106" s="23"/>
    </row>
    <row r="107" spans="1:1" x14ac:dyDescent="0.25">
      <c r="A107" s="23"/>
    </row>
    <row r="108" spans="1:1" x14ac:dyDescent="0.25">
      <c r="A108" s="23"/>
    </row>
    <row r="109" spans="1:1" x14ac:dyDescent="0.25">
      <c r="A109" s="23"/>
    </row>
    <row r="110" spans="1:1" x14ac:dyDescent="0.25">
      <c r="A110" s="23"/>
    </row>
    <row r="111" spans="1:1" x14ac:dyDescent="0.25">
      <c r="A111" s="23"/>
    </row>
    <row r="112" spans="1:1" x14ac:dyDescent="0.25">
      <c r="A112" s="23"/>
    </row>
    <row r="113" spans="1:1" x14ac:dyDescent="0.25">
      <c r="A113" s="23"/>
    </row>
    <row r="114" spans="1:1" x14ac:dyDescent="0.25">
      <c r="A114" s="23"/>
    </row>
    <row r="115" spans="1:1" x14ac:dyDescent="0.25">
      <c r="A115" s="23"/>
    </row>
    <row r="116" spans="1:1" x14ac:dyDescent="0.25">
      <c r="A116" s="23"/>
    </row>
    <row r="117" spans="1:1" x14ac:dyDescent="0.25">
      <c r="A117" s="23"/>
    </row>
    <row r="118" spans="1:1" x14ac:dyDescent="0.25">
      <c r="A118" s="23"/>
    </row>
    <row r="119" spans="1:1" x14ac:dyDescent="0.25">
      <c r="A119" s="23"/>
    </row>
    <row r="120" spans="1:1" x14ac:dyDescent="0.25">
      <c r="A120" s="23"/>
    </row>
    <row r="121" spans="1:1" x14ac:dyDescent="0.25">
      <c r="A121" s="23"/>
    </row>
    <row r="122" spans="1:1" x14ac:dyDescent="0.25">
      <c r="A122" s="23"/>
    </row>
    <row r="123" spans="1:1" x14ac:dyDescent="0.25">
      <c r="A123" s="23"/>
    </row>
    <row r="124" spans="1:1" x14ac:dyDescent="0.25">
      <c r="A124" s="23"/>
    </row>
    <row r="125" spans="1:1" x14ac:dyDescent="0.25">
      <c r="A125" s="23"/>
    </row>
    <row r="126" spans="1:1" x14ac:dyDescent="0.25">
      <c r="A126" s="23"/>
    </row>
    <row r="127" spans="1:1" x14ac:dyDescent="0.25">
      <c r="A127" s="23"/>
    </row>
    <row r="128" spans="1:1" x14ac:dyDescent="0.25">
      <c r="A128" s="23"/>
    </row>
    <row r="129" spans="1:1" x14ac:dyDescent="0.25">
      <c r="A129" s="23"/>
    </row>
    <row r="130" spans="1:1" x14ac:dyDescent="0.25">
      <c r="A130" s="23"/>
    </row>
    <row r="131" spans="1:1" x14ac:dyDescent="0.25">
      <c r="A131" s="23"/>
    </row>
    <row r="132" spans="1:1" x14ac:dyDescent="0.25">
      <c r="A132" s="23"/>
    </row>
    <row r="133" spans="1:1" x14ac:dyDescent="0.25">
      <c r="A133" s="23"/>
    </row>
    <row r="134" spans="1:1" x14ac:dyDescent="0.25">
      <c r="A134" s="23"/>
    </row>
    <row r="135" spans="1:1" x14ac:dyDescent="0.25">
      <c r="A135" s="23"/>
    </row>
    <row r="136" spans="1:1" x14ac:dyDescent="0.25">
      <c r="A136" s="23"/>
    </row>
    <row r="137" spans="1:1" x14ac:dyDescent="0.25">
      <c r="A137" s="23"/>
    </row>
    <row r="138" spans="1:1" x14ac:dyDescent="0.25">
      <c r="A138" s="23"/>
    </row>
    <row r="139" spans="1:1" x14ac:dyDescent="0.25">
      <c r="A139" s="23"/>
    </row>
    <row r="140" spans="1:1" x14ac:dyDescent="0.25">
      <c r="A140" s="23"/>
    </row>
    <row r="141" spans="1:1" x14ac:dyDescent="0.25">
      <c r="A141" s="23"/>
    </row>
    <row r="142" spans="1:1" x14ac:dyDescent="0.25">
      <c r="A142" s="23"/>
    </row>
    <row r="143" spans="1:1" x14ac:dyDescent="0.25">
      <c r="A143" s="23"/>
    </row>
    <row r="144" spans="1:1" x14ac:dyDescent="0.25">
      <c r="A144" s="23"/>
    </row>
    <row r="145" spans="1:1" x14ac:dyDescent="0.25">
      <c r="A145" s="23"/>
    </row>
    <row r="146" spans="1:1" x14ac:dyDescent="0.25">
      <c r="A146" s="23"/>
    </row>
    <row r="147" spans="1:1" x14ac:dyDescent="0.25">
      <c r="A147" s="23"/>
    </row>
    <row r="148" spans="1:1" x14ac:dyDescent="0.25">
      <c r="A148" s="23"/>
    </row>
    <row r="149" spans="1:1" x14ac:dyDescent="0.25">
      <c r="A149" s="23"/>
    </row>
    <row r="150" spans="1:1" x14ac:dyDescent="0.25">
      <c r="A150" s="23"/>
    </row>
    <row r="151" spans="1:1" x14ac:dyDescent="0.25">
      <c r="A151" s="23"/>
    </row>
    <row r="152" spans="1:1" x14ac:dyDescent="0.25">
      <c r="A152" s="23"/>
    </row>
    <row r="153" spans="1:1" x14ac:dyDescent="0.25">
      <c r="A153" s="23"/>
    </row>
    <row r="154" spans="1:1" x14ac:dyDescent="0.25">
      <c r="A154" s="23"/>
    </row>
    <row r="155" spans="1:1" x14ac:dyDescent="0.25">
      <c r="A155" s="23"/>
    </row>
    <row r="156" spans="1:1" x14ac:dyDescent="0.25">
      <c r="A156" s="23"/>
    </row>
    <row r="157" spans="1:1" x14ac:dyDescent="0.25">
      <c r="A157" s="23"/>
    </row>
    <row r="158" spans="1:1" x14ac:dyDescent="0.25">
      <c r="A158" s="23"/>
    </row>
    <row r="159" spans="1:1" x14ac:dyDescent="0.25">
      <c r="A159" s="23"/>
    </row>
    <row r="160" spans="1:1" x14ac:dyDescent="0.25">
      <c r="A160" s="23"/>
    </row>
    <row r="161" spans="1:1" x14ac:dyDescent="0.25">
      <c r="A161" s="23"/>
    </row>
    <row r="162" spans="1:1" x14ac:dyDescent="0.25">
      <c r="A162" s="23"/>
    </row>
    <row r="163" spans="1:1" x14ac:dyDescent="0.25">
      <c r="A163" s="23"/>
    </row>
    <row r="164" spans="1:1" x14ac:dyDescent="0.25">
      <c r="A164" s="23"/>
    </row>
    <row r="165" spans="1:1" x14ac:dyDescent="0.25">
      <c r="A165" s="23"/>
    </row>
    <row r="166" spans="1:1" x14ac:dyDescent="0.25">
      <c r="A166" s="23"/>
    </row>
    <row r="167" spans="1:1" x14ac:dyDescent="0.25">
      <c r="A167" s="23"/>
    </row>
    <row r="168" spans="1:1" x14ac:dyDescent="0.25">
      <c r="A168" s="23"/>
    </row>
    <row r="169" spans="1:1" x14ac:dyDescent="0.25">
      <c r="A169" s="23"/>
    </row>
    <row r="170" spans="1:1" x14ac:dyDescent="0.25">
      <c r="A170" s="23"/>
    </row>
    <row r="171" spans="1:1" x14ac:dyDescent="0.25">
      <c r="A171" s="23"/>
    </row>
    <row r="172" spans="1:1" x14ac:dyDescent="0.25">
      <c r="A172" s="23"/>
    </row>
    <row r="173" spans="1:1" x14ac:dyDescent="0.25">
      <c r="A173" s="23"/>
    </row>
    <row r="174" spans="1:1" x14ac:dyDescent="0.25">
      <c r="A174" s="23"/>
    </row>
    <row r="175" spans="1:1" x14ac:dyDescent="0.25">
      <c r="A175" s="23"/>
    </row>
    <row r="176" spans="1:1" x14ac:dyDescent="0.25">
      <c r="A176" s="23"/>
    </row>
    <row r="177" spans="1:1" x14ac:dyDescent="0.25">
      <c r="A177" s="23"/>
    </row>
    <row r="178" spans="1:1" x14ac:dyDescent="0.25">
      <c r="A178" s="23"/>
    </row>
    <row r="179" spans="1:1" x14ac:dyDescent="0.25">
      <c r="A179" s="23"/>
    </row>
    <row r="180" spans="1:1" x14ac:dyDescent="0.25">
      <c r="A180" s="23"/>
    </row>
    <row r="181" spans="1:1" x14ac:dyDescent="0.25">
      <c r="A181" s="23"/>
    </row>
    <row r="182" spans="1:1" x14ac:dyDescent="0.25">
      <c r="A182" s="23"/>
    </row>
    <row r="183" spans="1:1" x14ac:dyDescent="0.25">
      <c r="A183" s="23"/>
    </row>
    <row r="184" spans="1:1" x14ac:dyDescent="0.25">
      <c r="A184" s="23"/>
    </row>
    <row r="185" spans="1:1" x14ac:dyDescent="0.25">
      <c r="A185" s="23"/>
    </row>
    <row r="186" spans="1:1" x14ac:dyDescent="0.25">
      <c r="A186" s="23"/>
    </row>
    <row r="187" spans="1:1" x14ac:dyDescent="0.25">
      <c r="A187" s="23"/>
    </row>
    <row r="188" spans="1:1" x14ac:dyDescent="0.25">
      <c r="A188" s="23"/>
    </row>
    <row r="189" spans="1:1" x14ac:dyDescent="0.25">
      <c r="A189" s="23"/>
    </row>
    <row r="190" spans="1:1" x14ac:dyDescent="0.25">
      <c r="A190" s="23"/>
    </row>
    <row r="191" spans="1:1" x14ac:dyDescent="0.25">
      <c r="A191" s="23"/>
    </row>
    <row r="192" spans="1:1" x14ac:dyDescent="0.25">
      <c r="A192" s="23"/>
    </row>
    <row r="193" spans="1:1" x14ac:dyDescent="0.25">
      <c r="A193" s="23"/>
    </row>
    <row r="194" spans="1:1" x14ac:dyDescent="0.25">
      <c r="A194" s="23"/>
    </row>
    <row r="195" spans="1:1" x14ac:dyDescent="0.25">
      <c r="A195" s="23"/>
    </row>
    <row r="196" spans="1:1" x14ac:dyDescent="0.25">
      <c r="A196" s="23"/>
    </row>
    <row r="197" spans="1:1" x14ac:dyDescent="0.25">
      <c r="A197" s="23"/>
    </row>
    <row r="198" spans="1:1" x14ac:dyDescent="0.25">
      <c r="A198" s="23"/>
    </row>
    <row r="199" spans="1:1" x14ac:dyDescent="0.25">
      <c r="A199" s="23"/>
    </row>
    <row r="200" spans="1:1" x14ac:dyDescent="0.25">
      <c r="A200" s="23"/>
    </row>
    <row r="201" spans="1:1" x14ac:dyDescent="0.25">
      <c r="A201" s="23"/>
    </row>
    <row r="202" spans="1:1" x14ac:dyDescent="0.25">
      <c r="A202" s="23"/>
    </row>
    <row r="203" spans="1:1" x14ac:dyDescent="0.25">
      <c r="A203" s="23"/>
    </row>
    <row r="204" spans="1:1" x14ac:dyDescent="0.25">
      <c r="A204" s="23"/>
    </row>
    <row r="205" spans="1:1" x14ac:dyDescent="0.25">
      <c r="A205" s="23"/>
    </row>
    <row r="206" spans="1:1" x14ac:dyDescent="0.25">
      <c r="A206" s="23"/>
    </row>
    <row r="207" spans="1:1" x14ac:dyDescent="0.25">
      <c r="A207" s="23"/>
    </row>
    <row r="208" spans="1:1" x14ac:dyDescent="0.25">
      <c r="A208" s="23"/>
    </row>
    <row r="209" spans="1:1" x14ac:dyDescent="0.25">
      <c r="A209" s="23"/>
    </row>
    <row r="210" spans="1:1" x14ac:dyDescent="0.25">
      <c r="A210" s="23"/>
    </row>
    <row r="211" spans="1:1" x14ac:dyDescent="0.25">
      <c r="A211" s="23"/>
    </row>
    <row r="212" spans="1:1" x14ac:dyDescent="0.25">
      <c r="A212" s="23"/>
    </row>
    <row r="213" spans="1:1" x14ac:dyDescent="0.25">
      <c r="A213" s="23"/>
    </row>
    <row r="214" spans="1:1" x14ac:dyDescent="0.25">
      <c r="A214" s="23"/>
    </row>
    <row r="215" spans="1:1" x14ac:dyDescent="0.25">
      <c r="A215" s="23"/>
    </row>
    <row r="216" spans="1:1" x14ac:dyDescent="0.25">
      <c r="A216" s="23"/>
    </row>
    <row r="217" spans="1:1" x14ac:dyDescent="0.25">
      <c r="A217" s="23"/>
    </row>
    <row r="218" spans="1:1" x14ac:dyDescent="0.25">
      <c r="A218" s="23"/>
    </row>
    <row r="219" spans="1:1" x14ac:dyDescent="0.25">
      <c r="A219" s="23"/>
    </row>
    <row r="220" spans="1:1" x14ac:dyDescent="0.25">
      <c r="A220" s="23"/>
    </row>
    <row r="221" spans="1:1" x14ac:dyDescent="0.25">
      <c r="A221" s="23"/>
    </row>
    <row r="222" spans="1:1" x14ac:dyDescent="0.25">
      <c r="A222" s="23"/>
    </row>
    <row r="223" spans="1:1" x14ac:dyDescent="0.25">
      <c r="A223" s="23"/>
    </row>
    <row r="224" spans="1:1" x14ac:dyDescent="0.25">
      <c r="A224" s="23"/>
    </row>
    <row r="225" spans="1:1" x14ac:dyDescent="0.25">
      <c r="A225" s="23"/>
    </row>
    <row r="226" spans="1:1" x14ac:dyDescent="0.25">
      <c r="A226" s="23"/>
    </row>
    <row r="227" spans="1:1" x14ac:dyDescent="0.25">
      <c r="A227" s="23"/>
    </row>
    <row r="228" spans="1:1" x14ac:dyDescent="0.25">
      <c r="A228" s="23"/>
    </row>
    <row r="229" spans="1:1" x14ac:dyDescent="0.25">
      <c r="A229" s="23"/>
    </row>
    <row r="230" spans="1:1" x14ac:dyDescent="0.25">
      <c r="A230" s="23"/>
    </row>
    <row r="231" spans="1:1" x14ac:dyDescent="0.25">
      <c r="A231" s="23"/>
    </row>
    <row r="232" spans="1:1" x14ac:dyDescent="0.25">
      <c r="A232" s="23"/>
    </row>
    <row r="233" spans="1:1" x14ac:dyDescent="0.25">
      <c r="A233" s="23"/>
    </row>
    <row r="234" spans="1:1" x14ac:dyDescent="0.25">
      <c r="A234" s="23"/>
    </row>
    <row r="235" spans="1:1" x14ac:dyDescent="0.25">
      <c r="A235" s="23"/>
    </row>
    <row r="236" spans="1:1" x14ac:dyDescent="0.25">
      <c r="A236" s="23"/>
    </row>
    <row r="237" spans="1:1" x14ac:dyDescent="0.25">
      <c r="A237" s="23"/>
    </row>
    <row r="238" spans="1:1" x14ac:dyDescent="0.25">
      <c r="A238" s="23"/>
    </row>
    <row r="239" spans="1:1" x14ac:dyDescent="0.25">
      <c r="A239" s="23"/>
    </row>
    <row r="240" spans="1:1" x14ac:dyDescent="0.25">
      <c r="A240" s="23"/>
    </row>
    <row r="241" spans="1:1" x14ac:dyDescent="0.25">
      <c r="A241" s="23"/>
    </row>
    <row r="242" spans="1:1" x14ac:dyDescent="0.25">
      <c r="A242" s="23"/>
    </row>
    <row r="243" spans="1:1" x14ac:dyDescent="0.25">
      <c r="A243" s="23"/>
    </row>
    <row r="244" spans="1:1" x14ac:dyDescent="0.25">
      <c r="A244" s="23"/>
    </row>
    <row r="245" spans="1:1" x14ac:dyDescent="0.25">
      <c r="A245" s="23"/>
    </row>
    <row r="246" spans="1:1" x14ac:dyDescent="0.25">
      <c r="A246" s="23"/>
    </row>
    <row r="247" spans="1:1" x14ac:dyDescent="0.25">
      <c r="A247" s="23"/>
    </row>
    <row r="248" spans="1:1" x14ac:dyDescent="0.25">
      <c r="A248" s="23"/>
    </row>
    <row r="249" spans="1:1" x14ac:dyDescent="0.25">
      <c r="A249" s="23"/>
    </row>
    <row r="250" spans="1:1" x14ac:dyDescent="0.25">
      <c r="A250" s="23"/>
    </row>
    <row r="251" spans="1:1" x14ac:dyDescent="0.25">
      <c r="A251" s="23"/>
    </row>
    <row r="252" spans="1:1" x14ac:dyDescent="0.25">
      <c r="A252" s="23"/>
    </row>
    <row r="253" spans="1:1" x14ac:dyDescent="0.25">
      <c r="A253" s="23"/>
    </row>
    <row r="254" spans="1:1" x14ac:dyDescent="0.25">
      <c r="A254" s="23"/>
    </row>
    <row r="255" spans="1:1" x14ac:dyDescent="0.25">
      <c r="A255" s="23"/>
    </row>
    <row r="256" spans="1:1" x14ac:dyDescent="0.25">
      <c r="A256" s="23"/>
    </row>
    <row r="257" spans="1:1" x14ac:dyDescent="0.25">
      <c r="A257" s="23"/>
    </row>
    <row r="258" spans="1:1" x14ac:dyDescent="0.25">
      <c r="A258" s="23"/>
    </row>
    <row r="259" spans="1:1" x14ac:dyDescent="0.25">
      <c r="A259" s="23"/>
    </row>
    <row r="260" spans="1:1" x14ac:dyDescent="0.25">
      <c r="A260" s="23"/>
    </row>
    <row r="261" spans="1:1" x14ac:dyDescent="0.25">
      <c r="A261" s="23"/>
    </row>
    <row r="262" spans="1:1" x14ac:dyDescent="0.25">
      <c r="A262" s="23"/>
    </row>
    <row r="263" spans="1:1" x14ac:dyDescent="0.25">
      <c r="A263" s="23"/>
    </row>
    <row r="264" spans="1:1" x14ac:dyDescent="0.25">
      <c r="A264" s="23"/>
    </row>
    <row r="265" spans="1:1" x14ac:dyDescent="0.25">
      <c r="A265" s="23"/>
    </row>
    <row r="266" spans="1:1" x14ac:dyDescent="0.25">
      <c r="A266" s="23"/>
    </row>
    <row r="267" spans="1:1" x14ac:dyDescent="0.25">
      <c r="A267" s="23"/>
    </row>
    <row r="268" spans="1:1" x14ac:dyDescent="0.25">
      <c r="A268" s="23"/>
    </row>
    <row r="269" spans="1:1" x14ac:dyDescent="0.25">
      <c r="A269" s="23"/>
    </row>
    <row r="270" spans="1:1" x14ac:dyDescent="0.25">
      <c r="A270" s="23"/>
    </row>
    <row r="271" spans="1:1" x14ac:dyDescent="0.25">
      <c r="A271" s="23"/>
    </row>
    <row r="272" spans="1:1" x14ac:dyDescent="0.25">
      <c r="A272" s="23"/>
    </row>
    <row r="273" spans="1:1" x14ac:dyDescent="0.25">
      <c r="A273" s="23"/>
    </row>
    <row r="274" spans="1:1" x14ac:dyDescent="0.25">
      <c r="A274" s="23"/>
    </row>
    <row r="275" spans="1:1" x14ac:dyDescent="0.25">
      <c r="A275" s="23"/>
    </row>
    <row r="276" spans="1:1" x14ac:dyDescent="0.25">
      <c r="A276" s="23"/>
    </row>
    <row r="277" spans="1:1" x14ac:dyDescent="0.25">
      <c r="A277" s="23"/>
    </row>
    <row r="278" spans="1:1" x14ac:dyDescent="0.25">
      <c r="A278" s="23"/>
    </row>
    <row r="279" spans="1:1" x14ac:dyDescent="0.25">
      <c r="A279" s="23"/>
    </row>
    <row r="280" spans="1:1" x14ac:dyDescent="0.25">
      <c r="A280" s="23"/>
    </row>
    <row r="281" spans="1:1" x14ac:dyDescent="0.25">
      <c r="A281" s="23"/>
    </row>
    <row r="282" spans="1:1" x14ac:dyDescent="0.25">
      <c r="A282" s="23"/>
    </row>
    <row r="283" spans="1:1" x14ac:dyDescent="0.25">
      <c r="A283" s="23"/>
    </row>
    <row r="284" spans="1:1" x14ac:dyDescent="0.25">
      <c r="A284" s="23"/>
    </row>
    <row r="285" spans="1:1" x14ac:dyDescent="0.25">
      <c r="A285" s="23"/>
    </row>
    <row r="286" spans="1:1" x14ac:dyDescent="0.25">
      <c r="A286" s="23"/>
    </row>
    <row r="287" spans="1:1" x14ac:dyDescent="0.25">
      <c r="A287" s="23"/>
    </row>
    <row r="288" spans="1:1" x14ac:dyDescent="0.25">
      <c r="A288" s="23"/>
    </row>
    <row r="289" spans="1:1" x14ac:dyDescent="0.25">
      <c r="A289" s="23"/>
    </row>
    <row r="290" spans="1:1" x14ac:dyDescent="0.25">
      <c r="A290" s="23"/>
    </row>
    <row r="291" spans="1:1" x14ac:dyDescent="0.25">
      <c r="A291" s="23"/>
    </row>
    <row r="292" spans="1:1" x14ac:dyDescent="0.25">
      <c r="A292" s="23"/>
    </row>
    <row r="293" spans="1:1" x14ac:dyDescent="0.25">
      <c r="A293" s="23"/>
    </row>
    <row r="294" spans="1:1" x14ac:dyDescent="0.25">
      <c r="A294" s="23"/>
    </row>
    <row r="295" spans="1:1" x14ac:dyDescent="0.25">
      <c r="A295" s="23"/>
    </row>
    <row r="296" spans="1:1" x14ac:dyDescent="0.25">
      <c r="A296" s="23"/>
    </row>
    <row r="297" spans="1:1" x14ac:dyDescent="0.25">
      <c r="A297" s="23"/>
    </row>
    <row r="298" spans="1:1" x14ac:dyDescent="0.25">
      <c r="A298" s="23"/>
    </row>
    <row r="299" spans="1:1" x14ac:dyDescent="0.25">
      <c r="A299" s="23"/>
    </row>
    <row r="300" spans="1:1" x14ac:dyDescent="0.25">
      <c r="A300" s="23"/>
    </row>
    <row r="301" spans="1:1" x14ac:dyDescent="0.25">
      <c r="A301" s="23"/>
    </row>
    <row r="302" spans="1:1" x14ac:dyDescent="0.25">
      <c r="A302" s="23"/>
    </row>
    <row r="303" spans="1:1" x14ac:dyDescent="0.25">
      <c r="A303" s="23"/>
    </row>
    <row r="304" spans="1:1" x14ac:dyDescent="0.25">
      <c r="A304" s="23"/>
    </row>
    <row r="305" spans="1:1" x14ac:dyDescent="0.25">
      <c r="A305" s="23"/>
    </row>
    <row r="306" spans="1:1" x14ac:dyDescent="0.25">
      <c r="A306" s="23"/>
    </row>
    <row r="307" spans="1:1" x14ac:dyDescent="0.25">
      <c r="A307" s="23"/>
    </row>
    <row r="308" spans="1:1" x14ac:dyDescent="0.25">
      <c r="A308" s="23"/>
    </row>
    <row r="309" spans="1:1" x14ac:dyDescent="0.25">
      <c r="A309" s="23"/>
    </row>
    <row r="310" spans="1:1" x14ac:dyDescent="0.25">
      <c r="A310" s="23"/>
    </row>
    <row r="311" spans="1:1" x14ac:dyDescent="0.25">
      <c r="A311" s="23"/>
    </row>
    <row r="312" spans="1:1" x14ac:dyDescent="0.25">
      <c r="A312" s="23"/>
    </row>
    <row r="313" spans="1:1" x14ac:dyDescent="0.25">
      <c r="A313" s="23"/>
    </row>
    <row r="314" spans="1:1" x14ac:dyDescent="0.25">
      <c r="A314" s="23"/>
    </row>
    <row r="315" spans="1:1" x14ac:dyDescent="0.25">
      <c r="A315" s="23"/>
    </row>
    <row r="316" spans="1:1" x14ac:dyDescent="0.25">
      <c r="A316" s="23"/>
    </row>
    <row r="317" spans="1:1" x14ac:dyDescent="0.25">
      <c r="A317" s="23"/>
    </row>
    <row r="318" spans="1:1" x14ac:dyDescent="0.25">
      <c r="A318" s="23"/>
    </row>
    <row r="319" spans="1:1" x14ac:dyDescent="0.25">
      <c r="A319" s="23"/>
    </row>
    <row r="320" spans="1:1" x14ac:dyDescent="0.25">
      <c r="A320" s="23"/>
    </row>
    <row r="321" spans="1:1" x14ac:dyDescent="0.25">
      <c r="A321" s="23"/>
    </row>
    <row r="322" spans="1:1" x14ac:dyDescent="0.25">
      <c r="A322" s="23"/>
    </row>
    <row r="323" spans="1:1" x14ac:dyDescent="0.25">
      <c r="A323" s="23"/>
    </row>
    <row r="324" spans="1:1" x14ac:dyDescent="0.25">
      <c r="A324" s="23"/>
    </row>
    <row r="325" spans="1:1" x14ac:dyDescent="0.25">
      <c r="A325" s="23"/>
    </row>
    <row r="326" spans="1:1" x14ac:dyDescent="0.25">
      <c r="A326" s="23"/>
    </row>
    <row r="327" spans="1:1" x14ac:dyDescent="0.25">
      <c r="A327" s="23"/>
    </row>
    <row r="328" spans="1:1" x14ac:dyDescent="0.25">
      <c r="A328" s="23"/>
    </row>
    <row r="329" spans="1:1" x14ac:dyDescent="0.25">
      <c r="A329" s="23"/>
    </row>
    <row r="330" spans="1:1" x14ac:dyDescent="0.25">
      <c r="A330" s="23"/>
    </row>
    <row r="331" spans="1:1" x14ac:dyDescent="0.25">
      <c r="A331" s="23"/>
    </row>
    <row r="332" spans="1:1" x14ac:dyDescent="0.25">
      <c r="A332" s="23"/>
    </row>
    <row r="333" spans="1:1" x14ac:dyDescent="0.25">
      <c r="A333" s="23"/>
    </row>
    <row r="334" spans="1:1" x14ac:dyDescent="0.25">
      <c r="A334" s="23"/>
    </row>
    <row r="335" spans="1:1" x14ac:dyDescent="0.25">
      <c r="A335" s="23"/>
    </row>
    <row r="336" spans="1:1" x14ac:dyDescent="0.25">
      <c r="A336" s="23"/>
    </row>
    <row r="337" spans="1:1" x14ac:dyDescent="0.25">
      <c r="A337" s="23"/>
    </row>
    <row r="338" spans="1:1" x14ac:dyDescent="0.25">
      <c r="A338" s="23"/>
    </row>
    <row r="339" spans="1:1" x14ac:dyDescent="0.25">
      <c r="A339" s="23"/>
    </row>
    <row r="340" spans="1:1" x14ac:dyDescent="0.25">
      <c r="A340" s="23"/>
    </row>
    <row r="341" spans="1:1" x14ac:dyDescent="0.25">
      <c r="A341" s="23"/>
    </row>
    <row r="342" spans="1:1" x14ac:dyDescent="0.25">
      <c r="A342" s="23"/>
    </row>
    <row r="343" spans="1:1" x14ac:dyDescent="0.25">
      <c r="A343" s="23"/>
    </row>
    <row r="344" spans="1:1" x14ac:dyDescent="0.25">
      <c r="A344" s="23"/>
    </row>
    <row r="345" spans="1:1" x14ac:dyDescent="0.25">
      <c r="A345" s="23"/>
    </row>
    <row r="346" spans="1:1" x14ac:dyDescent="0.25">
      <c r="A346" s="23"/>
    </row>
    <row r="347" spans="1:1" x14ac:dyDescent="0.25">
      <c r="A347" s="23"/>
    </row>
    <row r="348" spans="1:1" x14ac:dyDescent="0.25">
      <c r="A348" s="23"/>
    </row>
    <row r="349" spans="1:1" x14ac:dyDescent="0.25">
      <c r="A349" s="23"/>
    </row>
    <row r="350" spans="1:1" x14ac:dyDescent="0.25">
      <c r="A350" s="23"/>
    </row>
    <row r="351" spans="1:1" x14ac:dyDescent="0.25">
      <c r="A351" s="23"/>
    </row>
    <row r="352" spans="1:1" x14ac:dyDescent="0.25">
      <c r="A352" s="23"/>
    </row>
    <row r="353" spans="1:1" x14ac:dyDescent="0.25">
      <c r="A353" s="23"/>
    </row>
    <row r="354" spans="1:1" x14ac:dyDescent="0.25">
      <c r="A354" s="23"/>
    </row>
    <row r="355" spans="1:1" x14ac:dyDescent="0.25">
      <c r="A355" s="23"/>
    </row>
    <row r="356" spans="1:1" x14ac:dyDescent="0.25">
      <c r="A356" s="23"/>
    </row>
    <row r="357" spans="1:1" x14ac:dyDescent="0.25">
      <c r="A357" s="23"/>
    </row>
    <row r="358" spans="1:1" x14ac:dyDescent="0.25">
      <c r="A358" s="23"/>
    </row>
    <row r="359" spans="1:1" x14ac:dyDescent="0.25">
      <c r="A359" s="23"/>
    </row>
    <row r="360" spans="1:1" x14ac:dyDescent="0.25">
      <c r="A360" s="23"/>
    </row>
    <row r="361" spans="1:1" x14ac:dyDescent="0.25">
      <c r="A361" s="23"/>
    </row>
    <row r="362" spans="1:1" x14ac:dyDescent="0.25">
      <c r="A362" s="23"/>
    </row>
    <row r="363" spans="1:1" x14ac:dyDescent="0.25">
      <c r="A363" s="23"/>
    </row>
    <row r="364" spans="1:1" x14ac:dyDescent="0.25">
      <c r="A364" s="23"/>
    </row>
    <row r="365" spans="1:1" x14ac:dyDescent="0.25">
      <c r="A365" s="23"/>
    </row>
    <row r="366" spans="1:1" x14ac:dyDescent="0.25">
      <c r="A366" s="23"/>
    </row>
    <row r="367" spans="1:1" x14ac:dyDescent="0.25">
      <c r="A367" s="23"/>
    </row>
    <row r="368" spans="1:1" x14ac:dyDescent="0.25">
      <c r="A368" s="23"/>
    </row>
    <row r="369" spans="1:1" x14ac:dyDescent="0.25">
      <c r="A369" s="23"/>
    </row>
    <row r="370" spans="1:1" x14ac:dyDescent="0.25">
      <c r="A370" s="23"/>
    </row>
    <row r="371" spans="1:1" x14ac:dyDescent="0.25">
      <c r="A371" s="23"/>
    </row>
    <row r="372" spans="1:1" x14ac:dyDescent="0.25">
      <c r="A372" s="23"/>
    </row>
    <row r="373" spans="1:1" x14ac:dyDescent="0.25">
      <c r="A373" s="23"/>
    </row>
    <row r="374" spans="1:1" x14ac:dyDescent="0.25">
      <c r="A374" s="23"/>
    </row>
    <row r="375" spans="1:1" x14ac:dyDescent="0.25">
      <c r="A375" s="23"/>
    </row>
    <row r="376" spans="1:1" x14ac:dyDescent="0.25">
      <c r="A376" s="23"/>
    </row>
    <row r="377" spans="1:1" x14ac:dyDescent="0.25">
      <c r="A377" s="23"/>
    </row>
    <row r="378" spans="1:1" x14ac:dyDescent="0.25">
      <c r="A378" s="23"/>
    </row>
    <row r="379" spans="1:1" x14ac:dyDescent="0.25">
      <c r="A379" s="23"/>
    </row>
    <row r="380" spans="1:1" x14ac:dyDescent="0.25">
      <c r="A380" s="23"/>
    </row>
    <row r="381" spans="1:1" x14ac:dyDescent="0.25">
      <c r="A381" s="23"/>
    </row>
    <row r="382" spans="1:1" x14ac:dyDescent="0.25">
      <c r="A382" s="23"/>
    </row>
    <row r="383" spans="1:1" x14ac:dyDescent="0.25">
      <c r="A383" s="23"/>
    </row>
    <row r="384" spans="1:1" x14ac:dyDescent="0.25">
      <c r="A384" s="23"/>
    </row>
    <row r="385" spans="1:1" x14ac:dyDescent="0.25">
      <c r="A385" s="23"/>
    </row>
    <row r="386" spans="1:1" x14ac:dyDescent="0.25">
      <c r="A386" s="23"/>
    </row>
    <row r="387" spans="1:1" x14ac:dyDescent="0.25">
      <c r="A387" s="23"/>
    </row>
    <row r="388" spans="1:1" x14ac:dyDescent="0.25">
      <c r="A388" s="23"/>
    </row>
    <row r="389" spans="1:1" x14ac:dyDescent="0.25">
      <c r="A389" s="23"/>
    </row>
    <row r="390" spans="1:1" x14ac:dyDescent="0.25">
      <c r="A390" s="23"/>
    </row>
    <row r="391" spans="1:1" x14ac:dyDescent="0.25">
      <c r="A391" s="23"/>
    </row>
    <row r="392" spans="1:1" x14ac:dyDescent="0.25">
      <c r="A392" s="23"/>
    </row>
    <row r="393" spans="1:1" x14ac:dyDescent="0.25">
      <c r="A393" s="23"/>
    </row>
    <row r="394" spans="1:1" x14ac:dyDescent="0.25">
      <c r="A394" s="23"/>
    </row>
    <row r="395" spans="1:1" x14ac:dyDescent="0.25">
      <c r="A395" s="23"/>
    </row>
    <row r="396" spans="1:1" x14ac:dyDescent="0.25">
      <c r="A396" s="23"/>
    </row>
    <row r="397" spans="1:1" x14ac:dyDescent="0.25">
      <c r="A397" s="23"/>
    </row>
    <row r="398" spans="1:1" x14ac:dyDescent="0.25">
      <c r="A398" s="23"/>
    </row>
    <row r="399" spans="1:1" x14ac:dyDescent="0.25">
      <c r="A399" s="23"/>
    </row>
    <row r="400" spans="1:1" x14ac:dyDescent="0.25">
      <c r="A400" s="23"/>
    </row>
    <row r="401" spans="1:1" x14ac:dyDescent="0.25">
      <c r="A401" s="23"/>
    </row>
    <row r="402" spans="1:1" x14ac:dyDescent="0.25">
      <c r="A402" s="23"/>
    </row>
    <row r="403" spans="1:1" x14ac:dyDescent="0.25">
      <c r="A403" s="23"/>
    </row>
    <row r="404" spans="1:1" x14ac:dyDescent="0.25">
      <c r="A404" s="23"/>
    </row>
    <row r="405" spans="1:1" x14ac:dyDescent="0.25">
      <c r="A405" s="23"/>
    </row>
    <row r="406" spans="1:1" x14ac:dyDescent="0.25">
      <c r="A406" s="23"/>
    </row>
    <row r="407" spans="1:1" x14ac:dyDescent="0.25">
      <c r="A407" s="23"/>
    </row>
    <row r="408" spans="1:1" x14ac:dyDescent="0.25">
      <c r="A408" s="23"/>
    </row>
    <row r="409" spans="1:1" x14ac:dyDescent="0.25">
      <c r="A409" s="23"/>
    </row>
    <row r="410" spans="1:1" x14ac:dyDescent="0.25">
      <c r="A410" s="23"/>
    </row>
    <row r="411" spans="1:1" x14ac:dyDescent="0.25">
      <c r="A411" s="23"/>
    </row>
    <row r="412" spans="1:1" x14ac:dyDescent="0.25">
      <c r="A412" s="23"/>
    </row>
    <row r="413" spans="1:1" x14ac:dyDescent="0.25">
      <c r="A413" s="23"/>
    </row>
    <row r="414" spans="1:1" x14ac:dyDescent="0.25">
      <c r="A414" s="23"/>
    </row>
    <row r="415" spans="1:1" x14ac:dyDescent="0.25">
      <c r="A415" s="23"/>
    </row>
    <row r="416" spans="1:1" x14ac:dyDescent="0.25">
      <c r="A416" s="23"/>
    </row>
    <row r="417" spans="1:1" x14ac:dyDescent="0.25">
      <c r="A417" s="23"/>
    </row>
    <row r="418" spans="1:1" x14ac:dyDescent="0.25">
      <c r="A418" s="23"/>
    </row>
    <row r="419" spans="1:1" x14ac:dyDescent="0.25">
      <c r="A419" s="23"/>
    </row>
    <row r="420" spans="1:1" x14ac:dyDescent="0.25">
      <c r="A420" s="23"/>
    </row>
    <row r="421" spans="1:1" x14ac:dyDescent="0.25">
      <c r="A421" s="23"/>
    </row>
    <row r="422" spans="1:1" x14ac:dyDescent="0.25">
      <c r="A422" s="23"/>
    </row>
    <row r="423" spans="1:1" x14ac:dyDescent="0.25">
      <c r="A423" s="23"/>
    </row>
    <row r="424" spans="1:1" x14ac:dyDescent="0.25">
      <c r="A424" s="23"/>
    </row>
    <row r="425" spans="1:1" x14ac:dyDescent="0.25">
      <c r="A425" s="23"/>
    </row>
    <row r="426" spans="1:1" x14ac:dyDescent="0.25">
      <c r="A426" s="23"/>
    </row>
    <row r="427" spans="1:1" x14ac:dyDescent="0.25">
      <c r="A427" s="23"/>
    </row>
    <row r="428" spans="1:1" x14ac:dyDescent="0.25">
      <c r="A428" s="23"/>
    </row>
    <row r="429" spans="1:1" x14ac:dyDescent="0.25">
      <c r="A429" s="23"/>
    </row>
    <row r="430" spans="1:1" x14ac:dyDescent="0.25">
      <c r="A430" s="23"/>
    </row>
    <row r="431" spans="1:1" x14ac:dyDescent="0.25">
      <c r="A431" s="23"/>
    </row>
    <row r="432" spans="1:1" x14ac:dyDescent="0.25">
      <c r="A432" s="23"/>
    </row>
    <row r="433" spans="1:1" x14ac:dyDescent="0.25">
      <c r="A433" s="23"/>
    </row>
    <row r="434" spans="1:1" x14ac:dyDescent="0.25">
      <c r="A434" s="23"/>
    </row>
    <row r="435" spans="1:1" x14ac:dyDescent="0.25">
      <c r="A435" s="23"/>
    </row>
    <row r="436" spans="1:1" x14ac:dyDescent="0.25">
      <c r="A436" s="23"/>
    </row>
    <row r="437" spans="1:1" x14ac:dyDescent="0.25">
      <c r="A437" s="23"/>
    </row>
    <row r="438" spans="1:1" x14ac:dyDescent="0.25">
      <c r="A438" s="23"/>
    </row>
    <row r="439" spans="1:1" x14ac:dyDescent="0.25">
      <c r="A439" s="23"/>
    </row>
    <row r="440" spans="1:1" x14ac:dyDescent="0.25">
      <c r="A440" s="23"/>
    </row>
    <row r="441" spans="1:1" x14ac:dyDescent="0.25">
      <c r="A441" s="23"/>
    </row>
    <row r="442" spans="1:1" x14ac:dyDescent="0.25">
      <c r="A442" s="23"/>
    </row>
    <row r="443" spans="1:1" x14ac:dyDescent="0.25">
      <c r="A443" s="23"/>
    </row>
    <row r="444" spans="1:1" x14ac:dyDescent="0.25">
      <c r="A444" s="23"/>
    </row>
    <row r="445" spans="1:1" x14ac:dyDescent="0.25">
      <c r="A445" s="23"/>
    </row>
    <row r="446" spans="1:1" x14ac:dyDescent="0.25">
      <c r="A446" s="23"/>
    </row>
    <row r="447" spans="1:1" x14ac:dyDescent="0.25">
      <c r="A447" s="23"/>
    </row>
    <row r="448" spans="1:1" x14ac:dyDescent="0.25">
      <c r="A448" s="23"/>
    </row>
    <row r="449" spans="1:1" x14ac:dyDescent="0.25">
      <c r="A449" s="23"/>
    </row>
    <row r="450" spans="1:1" x14ac:dyDescent="0.25">
      <c r="A450" s="23"/>
    </row>
    <row r="451" spans="1:1" x14ac:dyDescent="0.25">
      <c r="A451" s="23"/>
    </row>
    <row r="452" spans="1:1" x14ac:dyDescent="0.25">
      <c r="A452" s="23"/>
    </row>
    <row r="453" spans="1:1" x14ac:dyDescent="0.25">
      <c r="A453" s="23"/>
    </row>
    <row r="454" spans="1:1" x14ac:dyDescent="0.25">
      <c r="A454" s="23"/>
    </row>
    <row r="455" spans="1:1" x14ac:dyDescent="0.25">
      <c r="A455" s="23"/>
    </row>
    <row r="456" spans="1:1" x14ac:dyDescent="0.25">
      <c r="A456" s="23"/>
    </row>
    <row r="457" spans="1:1" x14ac:dyDescent="0.25">
      <c r="A457" s="23"/>
    </row>
    <row r="458" spans="1:1" x14ac:dyDescent="0.25">
      <c r="A458" s="23"/>
    </row>
    <row r="459" spans="1:1" x14ac:dyDescent="0.25">
      <c r="A459" s="23"/>
    </row>
    <row r="460" spans="1:1" x14ac:dyDescent="0.25">
      <c r="A460" s="23"/>
    </row>
    <row r="461" spans="1:1" x14ac:dyDescent="0.25">
      <c r="A461" s="23"/>
    </row>
    <row r="462" spans="1:1" x14ac:dyDescent="0.25">
      <c r="A462" s="23"/>
    </row>
    <row r="463" spans="1:1" x14ac:dyDescent="0.25">
      <c r="A463" s="23"/>
    </row>
    <row r="464" spans="1:1" x14ac:dyDescent="0.25">
      <c r="A464" s="23"/>
    </row>
    <row r="465" spans="1:1" x14ac:dyDescent="0.25">
      <c r="A465" s="23"/>
    </row>
    <row r="466" spans="1:1" x14ac:dyDescent="0.25">
      <c r="A466" s="23"/>
    </row>
    <row r="467" spans="1:1" x14ac:dyDescent="0.25">
      <c r="A467" s="23"/>
    </row>
    <row r="468" spans="1:1" x14ac:dyDescent="0.25">
      <c r="A468" s="23"/>
    </row>
    <row r="469" spans="1:1" x14ac:dyDescent="0.25">
      <c r="A469" s="23"/>
    </row>
    <row r="470" spans="1:1" x14ac:dyDescent="0.25">
      <c r="A470" s="23"/>
    </row>
    <row r="471" spans="1:1" x14ac:dyDescent="0.25">
      <c r="A471" s="23"/>
    </row>
    <row r="472" spans="1:1" x14ac:dyDescent="0.25">
      <c r="A472" s="23"/>
    </row>
    <row r="473" spans="1:1" x14ac:dyDescent="0.25">
      <c r="A473" s="23"/>
    </row>
    <row r="474" spans="1:1" x14ac:dyDescent="0.25">
      <c r="A474" s="23"/>
    </row>
    <row r="475" spans="1:1" x14ac:dyDescent="0.25">
      <c r="A475" s="23"/>
    </row>
    <row r="476" spans="1:1" x14ac:dyDescent="0.25">
      <c r="A476" s="23"/>
    </row>
    <row r="477" spans="1:1" x14ac:dyDescent="0.25">
      <c r="A477" s="23"/>
    </row>
    <row r="478" spans="1:1" x14ac:dyDescent="0.25">
      <c r="A478" s="23"/>
    </row>
    <row r="479" spans="1:1" x14ac:dyDescent="0.25">
      <c r="A479" s="23"/>
    </row>
    <row r="480" spans="1:1" x14ac:dyDescent="0.25">
      <c r="A480" s="23"/>
    </row>
    <row r="481" spans="1:1" x14ac:dyDescent="0.25">
      <c r="A481" s="23"/>
    </row>
    <row r="482" spans="1:1" x14ac:dyDescent="0.25">
      <c r="A482" s="23"/>
    </row>
    <row r="483" spans="1:1" x14ac:dyDescent="0.25">
      <c r="A483" s="23"/>
    </row>
    <row r="484" spans="1:1" x14ac:dyDescent="0.25">
      <c r="A484" s="23"/>
    </row>
    <row r="485" spans="1:1" x14ac:dyDescent="0.25">
      <c r="A485" s="23"/>
    </row>
    <row r="486" spans="1:1" x14ac:dyDescent="0.25">
      <c r="A486" s="23"/>
    </row>
    <row r="487" spans="1:1" x14ac:dyDescent="0.25">
      <c r="A487" s="23"/>
    </row>
    <row r="488" spans="1:1" x14ac:dyDescent="0.25">
      <c r="A488" s="23"/>
    </row>
    <row r="489" spans="1:1" x14ac:dyDescent="0.25">
      <c r="A489" s="23"/>
    </row>
    <row r="490" spans="1:1" x14ac:dyDescent="0.25">
      <c r="A490" s="23"/>
    </row>
    <row r="491" spans="1:1" x14ac:dyDescent="0.25">
      <c r="A491" s="23"/>
    </row>
    <row r="492" spans="1:1" x14ac:dyDescent="0.25">
      <c r="A492" s="23"/>
    </row>
    <row r="493" spans="1:1" x14ac:dyDescent="0.25">
      <c r="A493" s="23"/>
    </row>
    <row r="494" spans="1:1" x14ac:dyDescent="0.25">
      <c r="A494" s="23"/>
    </row>
    <row r="495" spans="1:1" x14ac:dyDescent="0.25">
      <c r="A495" s="23"/>
    </row>
    <row r="496" spans="1:1" x14ac:dyDescent="0.25">
      <c r="A496" s="23"/>
    </row>
    <row r="497" spans="1:1" x14ac:dyDescent="0.25">
      <c r="A497" s="23"/>
    </row>
    <row r="498" spans="1:1" x14ac:dyDescent="0.25">
      <c r="A498" s="23"/>
    </row>
    <row r="499" spans="1:1" x14ac:dyDescent="0.25">
      <c r="A499" s="23"/>
    </row>
    <row r="500" spans="1:1" x14ac:dyDescent="0.25">
      <c r="A500" s="23"/>
    </row>
    <row r="501" spans="1:1" x14ac:dyDescent="0.25">
      <c r="A501" s="23"/>
    </row>
    <row r="502" spans="1:1" x14ac:dyDescent="0.25">
      <c r="A502" s="23"/>
    </row>
    <row r="503" spans="1:1" x14ac:dyDescent="0.25">
      <c r="A503" s="23"/>
    </row>
    <row r="504" spans="1:1" x14ac:dyDescent="0.25">
      <c r="A504" s="23"/>
    </row>
    <row r="505" spans="1:1" x14ac:dyDescent="0.25">
      <c r="A505" s="23"/>
    </row>
    <row r="506" spans="1:1" x14ac:dyDescent="0.25">
      <c r="A506" s="23"/>
    </row>
    <row r="507" spans="1:1" x14ac:dyDescent="0.25">
      <c r="A507" s="23"/>
    </row>
    <row r="508" spans="1:1" x14ac:dyDescent="0.25">
      <c r="A508" s="23"/>
    </row>
    <row r="509" spans="1:1" x14ac:dyDescent="0.25">
      <c r="A509" s="23"/>
    </row>
    <row r="510" spans="1:1" x14ac:dyDescent="0.25">
      <c r="A510" s="23"/>
    </row>
    <row r="511" spans="1:1" x14ac:dyDescent="0.25">
      <c r="A511" s="23"/>
    </row>
    <row r="512" spans="1:1" x14ac:dyDescent="0.25">
      <c r="A512" s="23"/>
    </row>
    <row r="513" spans="1:1" x14ac:dyDescent="0.25">
      <c r="A513" s="23"/>
    </row>
    <row r="514" spans="1:1" x14ac:dyDescent="0.25">
      <c r="A514" s="23"/>
    </row>
    <row r="515" spans="1:1" x14ac:dyDescent="0.25">
      <c r="A515" s="23"/>
    </row>
    <row r="516" spans="1:1" x14ac:dyDescent="0.25">
      <c r="A516" s="23"/>
    </row>
    <row r="517" spans="1:1" x14ac:dyDescent="0.25">
      <c r="A517" s="23"/>
    </row>
    <row r="518" spans="1:1" x14ac:dyDescent="0.25">
      <c r="A518" s="23"/>
    </row>
    <row r="519" spans="1:1" x14ac:dyDescent="0.25">
      <c r="A519" s="23"/>
    </row>
    <row r="520" spans="1:1" x14ac:dyDescent="0.25">
      <c r="A520" s="23"/>
    </row>
    <row r="521" spans="1:1" x14ac:dyDescent="0.25">
      <c r="A521" s="23"/>
    </row>
    <row r="522" spans="1:1" x14ac:dyDescent="0.25">
      <c r="A522" s="23"/>
    </row>
    <row r="523" spans="1:1" x14ac:dyDescent="0.25">
      <c r="A523" s="23"/>
    </row>
    <row r="524" spans="1:1" x14ac:dyDescent="0.25">
      <c r="A524" s="23"/>
    </row>
    <row r="525" spans="1:1" x14ac:dyDescent="0.25">
      <c r="A525" s="23"/>
    </row>
    <row r="526" spans="1:1" x14ac:dyDescent="0.25">
      <c r="A526" s="23"/>
    </row>
    <row r="527" spans="1:1" x14ac:dyDescent="0.25">
      <c r="A527" s="23"/>
    </row>
    <row r="528" spans="1:1" x14ac:dyDescent="0.25">
      <c r="A528" s="23"/>
    </row>
    <row r="529" spans="1:1" x14ac:dyDescent="0.25">
      <c r="A529" s="23"/>
    </row>
    <row r="530" spans="1:1" x14ac:dyDescent="0.25">
      <c r="A530" s="23"/>
    </row>
    <row r="531" spans="1:1" x14ac:dyDescent="0.25">
      <c r="A531" s="23"/>
    </row>
    <row r="532" spans="1:1" x14ac:dyDescent="0.25">
      <c r="A532" s="23"/>
    </row>
    <row r="533" spans="1:1" x14ac:dyDescent="0.25">
      <c r="A533" s="23"/>
    </row>
    <row r="534" spans="1:1" x14ac:dyDescent="0.25">
      <c r="A534" s="23"/>
    </row>
    <row r="535" spans="1:1" x14ac:dyDescent="0.25">
      <c r="A535" s="23"/>
    </row>
    <row r="536" spans="1:1" x14ac:dyDescent="0.25">
      <c r="A536" s="23"/>
    </row>
    <row r="537" spans="1:1" x14ac:dyDescent="0.25">
      <c r="A537" s="23"/>
    </row>
    <row r="538" spans="1:1" x14ac:dyDescent="0.25">
      <c r="A538" s="23"/>
    </row>
    <row r="539" spans="1:1" x14ac:dyDescent="0.25">
      <c r="A539" s="23"/>
    </row>
    <row r="540" spans="1:1" x14ac:dyDescent="0.25">
      <c r="A540" s="23"/>
    </row>
    <row r="541" spans="1:1" x14ac:dyDescent="0.25">
      <c r="A541" s="23"/>
    </row>
    <row r="542" spans="1:1" x14ac:dyDescent="0.25">
      <c r="A542" s="23"/>
    </row>
    <row r="543" spans="1:1" x14ac:dyDescent="0.25">
      <c r="A543" s="23"/>
    </row>
    <row r="544" spans="1:1" x14ac:dyDescent="0.25">
      <c r="A544" s="23"/>
    </row>
    <row r="545" spans="1:1" x14ac:dyDescent="0.25">
      <c r="A545" s="23"/>
    </row>
  </sheetData>
  <dataValidations count="2">
    <dataValidation type="list" allowBlank="1" showInputMessage="1" showErrorMessage="1" sqref="C2:C75" xr:uid="{BD7A8616-9855-4080-A7DF-B2F6DB0EE746}">
      <formula1>"youtube, web page,tiktock, twitter, reddit, instagram, facebook, other"</formula1>
    </dataValidation>
    <dataValidation type="list" allowBlank="1" showInputMessage="1" showErrorMessage="1" sqref="E2:E1048576" xr:uid="{5AB25221-9A6A-4CA4-BA8C-88D35E107805}">
      <formula1>"Academic, Government , Public, Resource Managers, Students, Other,"</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201BB-82EC-407B-894F-2D1E49DE984E}">
  <sheetPr>
    <tabColor theme="5"/>
    <pageSetUpPr fitToPage="1"/>
  </sheetPr>
  <dimension ref="A1:J366"/>
  <sheetViews>
    <sheetView topLeftCell="A5" workbookViewId="0">
      <selection activeCell="G25" sqref="G25"/>
    </sheetView>
  </sheetViews>
  <sheetFormatPr defaultColWidth="9.140625" defaultRowHeight="15" x14ac:dyDescent="0.25"/>
  <cols>
    <col min="1" max="1" width="17" style="183" customWidth="1"/>
    <col min="2" max="2" width="93.42578125" style="239" customWidth="1"/>
    <col min="3" max="3" width="32.42578125" style="207" customWidth="1"/>
    <col min="4" max="4" width="24.85546875" style="192" customWidth="1"/>
    <col min="5" max="5" width="23.7109375" style="184" customWidth="1"/>
    <col min="6" max="6" width="19.7109375" style="243" customWidth="1"/>
    <col min="7" max="7" width="20.7109375" style="243" customWidth="1"/>
    <col min="8" max="8" width="21.7109375" style="244" customWidth="1"/>
    <col min="9" max="9" width="25.140625" style="235" customWidth="1"/>
    <col min="10" max="10" width="48.140625" style="209" customWidth="1"/>
    <col min="11" max="11" width="19" style="190" customWidth="1"/>
    <col min="12" max="16384" width="9.140625" style="190"/>
  </cols>
  <sheetData>
    <row r="1" spans="1:10" s="229" customFormat="1" ht="48.6" customHeight="1" x14ac:dyDescent="0.25">
      <c r="A1" s="219" t="s">
        <v>364</v>
      </c>
      <c r="B1" s="220" t="s">
        <v>429</v>
      </c>
      <c r="C1" s="221" t="s">
        <v>430</v>
      </c>
      <c r="D1" s="222" t="s">
        <v>389</v>
      </c>
      <c r="E1" s="223" t="s">
        <v>162</v>
      </c>
      <c r="F1" s="224" t="s">
        <v>431</v>
      </c>
      <c r="G1" s="225" t="s">
        <v>432</v>
      </c>
      <c r="H1" s="226" t="s">
        <v>433</v>
      </c>
      <c r="I1" s="227" t="s">
        <v>427</v>
      </c>
      <c r="J1" s="228" t="s">
        <v>434</v>
      </c>
    </row>
    <row r="2" spans="1:10" s="237" customFormat="1" ht="30" x14ac:dyDescent="0.25">
      <c r="A2" s="182" t="s">
        <v>197</v>
      </c>
      <c r="B2" s="230" t="s">
        <v>435</v>
      </c>
      <c r="C2" s="201" t="s">
        <v>436</v>
      </c>
      <c r="D2" s="387">
        <v>43617</v>
      </c>
      <c r="E2" s="231" t="s">
        <v>442</v>
      </c>
      <c r="F2" s="232" t="s">
        <v>193</v>
      </c>
      <c r="G2" s="233">
        <v>0</v>
      </c>
      <c r="H2" s="234">
        <v>0</v>
      </c>
      <c r="I2" s="235" t="s">
        <v>443</v>
      </c>
      <c r="J2" s="236"/>
    </row>
    <row r="3" spans="1:10" s="237" customFormat="1" ht="30" x14ac:dyDescent="0.25">
      <c r="A3" s="182" t="s">
        <v>197</v>
      </c>
      <c r="B3" s="230" t="s">
        <v>437</v>
      </c>
      <c r="C3" s="201" t="s">
        <v>436</v>
      </c>
      <c r="D3" s="387">
        <v>43618</v>
      </c>
      <c r="E3" s="231" t="s">
        <v>442</v>
      </c>
      <c r="F3" s="232" t="s">
        <v>193</v>
      </c>
      <c r="G3" s="233">
        <v>0</v>
      </c>
      <c r="H3" s="234">
        <v>0</v>
      </c>
      <c r="I3" s="235" t="s">
        <v>443</v>
      </c>
      <c r="J3" s="236"/>
    </row>
    <row r="4" spans="1:10" s="237" customFormat="1" ht="30" x14ac:dyDescent="0.25">
      <c r="A4" s="182" t="s">
        <v>197</v>
      </c>
      <c r="B4" s="239" t="s">
        <v>447</v>
      </c>
      <c r="C4" s="201" t="s">
        <v>439</v>
      </c>
      <c r="D4" s="387">
        <v>43422</v>
      </c>
      <c r="E4" s="231" t="s">
        <v>442</v>
      </c>
      <c r="F4" s="232" t="s">
        <v>396</v>
      </c>
      <c r="G4" s="233">
        <v>2</v>
      </c>
      <c r="H4" s="234">
        <v>0</v>
      </c>
      <c r="I4" s="235" t="s">
        <v>443</v>
      </c>
      <c r="J4" s="236"/>
    </row>
    <row r="5" spans="1:10" s="237" customFormat="1" ht="30" x14ac:dyDescent="0.25">
      <c r="A5" s="182" t="s">
        <v>197</v>
      </c>
      <c r="B5" s="239" t="s">
        <v>438</v>
      </c>
      <c r="C5" s="201" t="s">
        <v>439</v>
      </c>
      <c r="D5" s="387">
        <v>43423</v>
      </c>
      <c r="E5" s="231" t="s">
        <v>442</v>
      </c>
      <c r="F5" s="232" t="s">
        <v>193</v>
      </c>
      <c r="G5" s="233">
        <v>2</v>
      </c>
      <c r="H5" s="234">
        <v>0</v>
      </c>
      <c r="I5" s="235" t="s">
        <v>443</v>
      </c>
      <c r="J5" s="236"/>
    </row>
    <row r="6" spans="1:10" s="237" customFormat="1" ht="30" x14ac:dyDescent="0.25">
      <c r="A6" s="182" t="s">
        <v>197</v>
      </c>
      <c r="B6" s="230" t="s">
        <v>440</v>
      </c>
      <c r="C6" s="201" t="s">
        <v>441</v>
      </c>
      <c r="D6" s="387">
        <v>42795</v>
      </c>
      <c r="E6" s="231" t="s">
        <v>442</v>
      </c>
      <c r="F6" s="232" t="s">
        <v>396</v>
      </c>
      <c r="G6" s="233">
        <v>0</v>
      </c>
      <c r="H6" s="234">
        <v>0</v>
      </c>
      <c r="I6" s="235" t="s">
        <v>443</v>
      </c>
      <c r="J6" s="236"/>
    </row>
    <row r="7" spans="1:10" s="237" customFormat="1" ht="45" x14ac:dyDescent="0.25">
      <c r="A7" s="182" t="s">
        <v>197</v>
      </c>
      <c r="B7" s="230" t="s">
        <v>444</v>
      </c>
      <c r="C7" s="201" t="s">
        <v>445</v>
      </c>
      <c r="D7" s="387">
        <v>42826</v>
      </c>
      <c r="E7" s="231" t="s">
        <v>442</v>
      </c>
      <c r="F7" s="232" t="s">
        <v>406</v>
      </c>
      <c r="G7" s="233">
        <v>2</v>
      </c>
      <c r="H7" s="234">
        <v>0</v>
      </c>
      <c r="I7" s="235" t="s">
        <v>476</v>
      </c>
      <c r="J7" s="236"/>
    </row>
    <row r="8" spans="1:10" ht="45" x14ac:dyDescent="0.25">
      <c r="A8" s="182" t="s">
        <v>197</v>
      </c>
      <c r="B8" s="239" t="s">
        <v>446</v>
      </c>
      <c r="C8" s="207" t="s">
        <v>445</v>
      </c>
      <c r="D8" s="387">
        <v>42827</v>
      </c>
      <c r="E8" s="231" t="s">
        <v>442</v>
      </c>
      <c r="F8" s="232" t="s">
        <v>406</v>
      </c>
      <c r="G8" s="233">
        <v>3</v>
      </c>
      <c r="H8" s="234">
        <v>0</v>
      </c>
      <c r="I8" s="235" t="s">
        <v>476</v>
      </c>
    </row>
    <row r="9" spans="1:10" x14ac:dyDescent="0.25">
      <c r="A9" s="182" t="s">
        <v>197</v>
      </c>
      <c r="B9" s="240" t="s">
        <v>447</v>
      </c>
      <c r="C9" s="207" t="s">
        <v>448</v>
      </c>
      <c r="D9" s="387">
        <v>42856</v>
      </c>
      <c r="E9" s="231" t="s">
        <v>442</v>
      </c>
      <c r="F9" s="232" t="s">
        <v>406</v>
      </c>
      <c r="G9" s="242">
        <v>2</v>
      </c>
      <c r="H9" s="234">
        <v>0</v>
      </c>
      <c r="I9" s="235" t="s">
        <v>443</v>
      </c>
    </row>
    <row r="10" spans="1:10" ht="30" x14ac:dyDescent="0.25">
      <c r="A10" s="182" t="s">
        <v>197</v>
      </c>
      <c r="B10" s="239" t="s">
        <v>446</v>
      </c>
      <c r="C10" s="207" t="s">
        <v>448</v>
      </c>
      <c r="D10" s="387">
        <v>42857</v>
      </c>
      <c r="E10" s="231" t="s">
        <v>442</v>
      </c>
      <c r="F10" s="232" t="s">
        <v>406</v>
      </c>
      <c r="G10" s="242">
        <v>3</v>
      </c>
      <c r="H10" s="234">
        <v>0</v>
      </c>
      <c r="I10" s="235" t="s">
        <v>443</v>
      </c>
    </row>
    <row r="11" spans="1:10" ht="30" x14ac:dyDescent="0.25">
      <c r="A11" s="191" t="s">
        <v>283</v>
      </c>
      <c r="B11" s="239" t="s">
        <v>449</v>
      </c>
      <c r="C11" s="201" t="s">
        <v>439</v>
      </c>
      <c r="D11" s="387">
        <v>43405</v>
      </c>
      <c r="E11" s="241" t="s">
        <v>450</v>
      </c>
      <c r="F11" s="232" t="s">
        <v>406</v>
      </c>
      <c r="G11" s="242">
        <v>1</v>
      </c>
      <c r="H11" s="234">
        <v>0</v>
      </c>
      <c r="I11" s="235" t="s">
        <v>443</v>
      </c>
    </row>
    <row r="12" spans="1:10" ht="45" x14ac:dyDescent="0.25">
      <c r="A12" s="191" t="s">
        <v>283</v>
      </c>
      <c r="B12" s="239" t="s">
        <v>451</v>
      </c>
      <c r="C12" s="207" t="s">
        <v>452</v>
      </c>
      <c r="D12" s="387">
        <v>43436</v>
      </c>
      <c r="E12" s="241" t="s">
        <v>450</v>
      </c>
      <c r="F12" s="232" t="s">
        <v>406</v>
      </c>
      <c r="G12" s="242">
        <v>1</v>
      </c>
      <c r="H12" s="234">
        <v>0</v>
      </c>
      <c r="I12" s="235" t="s">
        <v>443</v>
      </c>
    </row>
    <row r="13" spans="1:10" ht="45" x14ac:dyDescent="0.25">
      <c r="A13" s="191" t="s">
        <v>283</v>
      </c>
      <c r="B13" s="239" t="s">
        <v>453</v>
      </c>
      <c r="C13" s="207" t="s">
        <v>454</v>
      </c>
      <c r="D13" s="387">
        <v>43132</v>
      </c>
      <c r="E13" s="241" t="s">
        <v>450</v>
      </c>
      <c r="F13" s="232" t="s">
        <v>406</v>
      </c>
      <c r="G13" s="242">
        <v>1</v>
      </c>
      <c r="H13" s="234">
        <v>0</v>
      </c>
      <c r="I13" s="235" t="s">
        <v>443</v>
      </c>
    </row>
    <row r="14" spans="1:10" ht="90" x14ac:dyDescent="0.25">
      <c r="A14" s="191" t="s">
        <v>248</v>
      </c>
      <c r="B14" s="239" t="s">
        <v>455</v>
      </c>
      <c r="C14" s="207" t="s">
        <v>456</v>
      </c>
      <c r="D14" s="387">
        <v>43586</v>
      </c>
      <c r="E14" s="241" t="s">
        <v>643</v>
      </c>
      <c r="F14" s="232" t="s">
        <v>406</v>
      </c>
      <c r="G14" s="242">
        <v>1</v>
      </c>
      <c r="H14" s="234">
        <v>0</v>
      </c>
      <c r="I14" s="235" t="s">
        <v>443</v>
      </c>
    </row>
    <row r="15" spans="1:10" ht="90" x14ac:dyDescent="0.25">
      <c r="A15" s="191" t="s">
        <v>248</v>
      </c>
      <c r="B15" s="239" t="s">
        <v>644</v>
      </c>
      <c r="C15" s="207" t="s">
        <v>456</v>
      </c>
      <c r="D15" s="387">
        <v>43252</v>
      </c>
      <c r="E15" s="241" t="s">
        <v>643</v>
      </c>
      <c r="F15" s="232" t="s">
        <v>406</v>
      </c>
      <c r="G15" s="242">
        <v>1</v>
      </c>
      <c r="H15" s="234">
        <v>0</v>
      </c>
      <c r="I15" s="235" t="s">
        <v>443</v>
      </c>
      <c r="J15" s="389" t="s">
        <v>645</v>
      </c>
    </row>
    <row r="16" spans="1:10" ht="45" x14ac:dyDescent="0.25">
      <c r="A16" s="191" t="s">
        <v>248</v>
      </c>
      <c r="B16" s="239" t="s">
        <v>457</v>
      </c>
      <c r="C16" s="207" t="s">
        <v>458</v>
      </c>
      <c r="D16" s="387">
        <v>43587</v>
      </c>
      <c r="E16" s="241" t="s">
        <v>643</v>
      </c>
      <c r="F16" s="232" t="s">
        <v>406</v>
      </c>
      <c r="G16" s="242">
        <v>1</v>
      </c>
      <c r="H16" s="234">
        <v>0</v>
      </c>
      <c r="I16" s="235" t="s">
        <v>443</v>
      </c>
    </row>
    <row r="17" spans="1:10" ht="30" x14ac:dyDescent="0.25">
      <c r="A17" s="191" t="s">
        <v>248</v>
      </c>
      <c r="B17" s="239" t="s">
        <v>457</v>
      </c>
      <c r="C17" s="207" t="s">
        <v>459</v>
      </c>
      <c r="D17" s="387">
        <v>43435</v>
      </c>
      <c r="E17" s="241" t="s">
        <v>643</v>
      </c>
      <c r="F17" s="232" t="s">
        <v>406</v>
      </c>
      <c r="G17" s="242">
        <v>1</v>
      </c>
      <c r="H17" s="234">
        <v>0</v>
      </c>
      <c r="I17" s="235" t="s">
        <v>443</v>
      </c>
    </row>
    <row r="18" spans="1:10" ht="30" x14ac:dyDescent="0.25">
      <c r="A18" s="191" t="s">
        <v>248</v>
      </c>
      <c r="B18" s="239" t="s">
        <v>460</v>
      </c>
      <c r="C18" s="207" t="s">
        <v>461</v>
      </c>
      <c r="D18" s="387">
        <v>43252</v>
      </c>
      <c r="E18" s="184" t="s">
        <v>643</v>
      </c>
      <c r="F18" s="232" t="s">
        <v>406</v>
      </c>
      <c r="G18" s="243">
        <v>1</v>
      </c>
      <c r="H18" s="244">
        <v>0</v>
      </c>
      <c r="I18" s="235" t="s">
        <v>443</v>
      </c>
    </row>
    <row r="19" spans="1:10" ht="45" x14ac:dyDescent="0.25">
      <c r="A19" s="191" t="s">
        <v>248</v>
      </c>
      <c r="B19" s="239" t="s">
        <v>646</v>
      </c>
      <c r="C19" s="207" t="s">
        <v>647</v>
      </c>
      <c r="D19" s="387">
        <v>43191</v>
      </c>
      <c r="E19" s="184" t="s">
        <v>643</v>
      </c>
      <c r="F19" s="232" t="s">
        <v>406</v>
      </c>
      <c r="G19" s="243">
        <v>1</v>
      </c>
      <c r="H19" s="244">
        <v>0</v>
      </c>
      <c r="I19" s="235" t="s">
        <v>443</v>
      </c>
      <c r="J19" s="209" t="s">
        <v>648</v>
      </c>
    </row>
    <row r="20" spans="1:10" ht="45" x14ac:dyDescent="0.25">
      <c r="A20" s="191" t="s">
        <v>248</v>
      </c>
      <c r="B20" s="239" t="s">
        <v>649</v>
      </c>
      <c r="C20" s="207" t="s">
        <v>650</v>
      </c>
      <c r="D20" s="387">
        <v>42887</v>
      </c>
      <c r="E20" s="184" t="s">
        <v>643</v>
      </c>
      <c r="F20" s="232" t="s">
        <v>396</v>
      </c>
      <c r="G20" s="243">
        <v>1</v>
      </c>
      <c r="H20" s="244">
        <v>0</v>
      </c>
      <c r="I20" s="235" t="s">
        <v>443</v>
      </c>
    </row>
    <row r="21" spans="1:10" ht="60" x14ac:dyDescent="0.25">
      <c r="A21" s="191" t="s">
        <v>248</v>
      </c>
      <c r="B21" s="239" t="s">
        <v>462</v>
      </c>
      <c r="C21" s="207" t="s">
        <v>651</v>
      </c>
      <c r="D21" s="388">
        <v>42736</v>
      </c>
      <c r="E21" s="184" t="s">
        <v>643</v>
      </c>
      <c r="F21" s="232" t="s">
        <v>396</v>
      </c>
      <c r="G21" s="243">
        <v>2</v>
      </c>
      <c r="H21" s="244">
        <v>0</v>
      </c>
      <c r="I21" s="235" t="s">
        <v>443</v>
      </c>
      <c r="J21" s="209" t="s">
        <v>463</v>
      </c>
    </row>
    <row r="22" spans="1:10" ht="30" x14ac:dyDescent="0.25">
      <c r="A22" s="191" t="s">
        <v>248</v>
      </c>
      <c r="B22" s="239" t="s">
        <v>464</v>
      </c>
      <c r="C22" s="207" t="s">
        <v>465</v>
      </c>
      <c r="D22" s="388">
        <v>42736</v>
      </c>
      <c r="E22" s="184" t="s">
        <v>643</v>
      </c>
      <c r="F22" s="232" t="s">
        <v>406</v>
      </c>
      <c r="G22" s="243">
        <v>2</v>
      </c>
      <c r="H22" s="244">
        <v>0</v>
      </c>
      <c r="I22" s="235" t="s">
        <v>443</v>
      </c>
    </row>
    <row r="23" spans="1:10" ht="30" x14ac:dyDescent="0.25">
      <c r="A23" s="191" t="s">
        <v>248</v>
      </c>
      <c r="B23" s="239" t="s">
        <v>384</v>
      </c>
      <c r="C23" s="207" t="s">
        <v>466</v>
      </c>
      <c r="D23" s="388">
        <v>42583</v>
      </c>
      <c r="E23" s="184" t="s">
        <v>643</v>
      </c>
      <c r="F23" s="232" t="s">
        <v>406</v>
      </c>
      <c r="G23" s="243">
        <v>1</v>
      </c>
      <c r="H23" s="244">
        <v>0</v>
      </c>
      <c r="I23" s="235" t="s">
        <v>443</v>
      </c>
    </row>
    <row r="24" spans="1:10" x14ac:dyDescent="0.25">
      <c r="A24" s="191" t="s">
        <v>248</v>
      </c>
      <c r="B24" s="239" t="s">
        <v>467</v>
      </c>
      <c r="C24" s="207" t="s">
        <v>468</v>
      </c>
      <c r="D24" s="388">
        <v>42644</v>
      </c>
      <c r="E24" s="184" t="s">
        <v>643</v>
      </c>
      <c r="F24" s="232" t="s">
        <v>406</v>
      </c>
      <c r="G24" s="243">
        <v>1</v>
      </c>
      <c r="H24" s="244">
        <v>0</v>
      </c>
      <c r="I24" s="235" t="s">
        <v>443</v>
      </c>
    </row>
    <row r="25" spans="1:10" ht="30" x14ac:dyDescent="0.25">
      <c r="A25" s="212" t="s">
        <v>243</v>
      </c>
      <c r="B25" s="239" t="s">
        <v>469</v>
      </c>
      <c r="C25" s="207" t="s">
        <v>470</v>
      </c>
      <c r="D25" s="388">
        <v>44166</v>
      </c>
      <c r="E25" s="184" t="s">
        <v>587</v>
      </c>
      <c r="F25" s="232" t="s">
        <v>406</v>
      </c>
      <c r="G25" s="243">
        <v>0</v>
      </c>
      <c r="H25" s="244">
        <v>0</v>
      </c>
      <c r="I25" s="235" t="s">
        <v>443</v>
      </c>
    </row>
    <row r="26" spans="1:10" ht="30" x14ac:dyDescent="0.25">
      <c r="A26" s="238" t="s">
        <v>237</v>
      </c>
      <c r="B26" s="239" t="s">
        <v>616</v>
      </c>
      <c r="C26" s="207" t="s">
        <v>617</v>
      </c>
      <c r="D26" s="192">
        <v>2017</v>
      </c>
      <c r="E26" s="385" t="s">
        <v>14</v>
      </c>
      <c r="F26" s="232" t="s">
        <v>396</v>
      </c>
      <c r="H26" s="244">
        <v>0</v>
      </c>
      <c r="I26" s="235" t="s">
        <v>476</v>
      </c>
    </row>
    <row r="27" spans="1:10" ht="30" x14ac:dyDescent="0.25">
      <c r="A27" s="238" t="s">
        <v>237</v>
      </c>
      <c r="B27" s="239" t="s">
        <v>625</v>
      </c>
      <c r="C27" s="207" t="s">
        <v>626</v>
      </c>
      <c r="D27" s="192">
        <v>2017</v>
      </c>
      <c r="E27" s="385" t="s">
        <v>14</v>
      </c>
      <c r="F27" s="232" t="s">
        <v>396</v>
      </c>
      <c r="I27" s="235" t="s">
        <v>476</v>
      </c>
    </row>
    <row r="28" spans="1:10" ht="30" x14ac:dyDescent="0.25">
      <c r="A28" s="212" t="s">
        <v>278</v>
      </c>
      <c r="B28" s="213" t="s">
        <v>640</v>
      </c>
      <c r="C28" s="207" t="s">
        <v>641</v>
      </c>
      <c r="D28" s="388">
        <v>43556</v>
      </c>
      <c r="E28" s="184" t="s">
        <v>642</v>
      </c>
      <c r="F28" s="232" t="s">
        <v>396</v>
      </c>
      <c r="G28" s="243">
        <v>0</v>
      </c>
      <c r="H28" s="244">
        <v>0</v>
      </c>
      <c r="I28" s="235" t="s">
        <v>476</v>
      </c>
      <c r="J28" s="209" t="s">
        <v>463</v>
      </c>
    </row>
    <row r="29" spans="1:10" x14ac:dyDescent="0.25">
      <c r="A29" s="212"/>
      <c r="F29" s="232"/>
    </row>
    <row r="30" spans="1:10" x14ac:dyDescent="0.25">
      <c r="A30" s="212"/>
      <c r="F30" s="232"/>
    </row>
    <row r="31" spans="1:10" x14ac:dyDescent="0.25">
      <c r="A31" s="212"/>
      <c r="F31" s="232"/>
    </row>
    <row r="32" spans="1:10" x14ac:dyDescent="0.25">
      <c r="A32" s="212"/>
      <c r="F32" s="232"/>
    </row>
    <row r="33" spans="1:6" x14ac:dyDescent="0.25">
      <c r="A33" s="212"/>
      <c r="F33" s="232"/>
    </row>
    <row r="34" spans="1:6" x14ac:dyDescent="0.25">
      <c r="A34" s="212"/>
      <c r="F34" s="232"/>
    </row>
    <row r="35" spans="1:6" x14ac:dyDescent="0.25">
      <c r="A35" s="212"/>
      <c r="F35" s="232"/>
    </row>
    <row r="36" spans="1:6" x14ac:dyDescent="0.25">
      <c r="A36" s="212"/>
      <c r="F36" s="232"/>
    </row>
    <row r="37" spans="1:6" x14ac:dyDescent="0.25">
      <c r="A37" s="212"/>
      <c r="F37" s="232"/>
    </row>
    <row r="38" spans="1:6" x14ac:dyDescent="0.25">
      <c r="A38" s="212"/>
      <c r="F38" s="232"/>
    </row>
    <row r="39" spans="1:6" x14ac:dyDescent="0.25">
      <c r="A39" s="212"/>
      <c r="F39" s="232"/>
    </row>
    <row r="40" spans="1:6" x14ac:dyDescent="0.25">
      <c r="A40" s="212"/>
      <c r="F40" s="232"/>
    </row>
    <row r="41" spans="1:6" x14ac:dyDescent="0.25">
      <c r="A41" s="212"/>
      <c r="F41" s="232"/>
    </row>
    <row r="42" spans="1:6" x14ac:dyDescent="0.25">
      <c r="A42" s="212"/>
      <c r="F42" s="232"/>
    </row>
    <row r="43" spans="1:6" x14ac:dyDescent="0.25">
      <c r="A43" s="212"/>
      <c r="F43" s="232"/>
    </row>
    <row r="44" spans="1:6" x14ac:dyDescent="0.25">
      <c r="A44" s="212"/>
      <c r="F44" s="232"/>
    </row>
    <row r="45" spans="1:6" x14ac:dyDescent="0.25">
      <c r="A45" s="212"/>
      <c r="F45" s="232"/>
    </row>
    <row r="46" spans="1:6" x14ac:dyDescent="0.25">
      <c r="A46" s="212"/>
      <c r="F46" s="232"/>
    </row>
    <row r="47" spans="1:6" x14ac:dyDescent="0.25">
      <c r="A47" s="212"/>
      <c r="F47" s="232"/>
    </row>
    <row r="48" spans="1:6" x14ac:dyDescent="0.25">
      <c r="A48" s="212"/>
      <c r="F48" s="232"/>
    </row>
    <row r="49" spans="1:6" x14ac:dyDescent="0.25">
      <c r="A49" s="212"/>
      <c r="F49" s="232"/>
    </row>
    <row r="50" spans="1:6" x14ac:dyDescent="0.25">
      <c r="A50" s="212"/>
      <c r="F50" s="232"/>
    </row>
    <row r="51" spans="1:6" x14ac:dyDescent="0.25">
      <c r="A51" s="212"/>
      <c r="F51" s="232"/>
    </row>
    <row r="52" spans="1:6" x14ac:dyDescent="0.25">
      <c r="A52" s="212"/>
      <c r="F52" s="232"/>
    </row>
    <row r="53" spans="1:6" x14ac:dyDescent="0.25">
      <c r="A53" s="212"/>
      <c r="F53" s="232"/>
    </row>
    <row r="54" spans="1:6" x14ac:dyDescent="0.25">
      <c r="A54" s="212"/>
      <c r="F54" s="232"/>
    </row>
    <row r="55" spans="1:6" x14ac:dyDescent="0.25">
      <c r="A55" s="212"/>
      <c r="F55" s="232"/>
    </row>
    <row r="56" spans="1:6" x14ac:dyDescent="0.25">
      <c r="A56" s="212"/>
      <c r="F56" s="232"/>
    </row>
    <row r="57" spans="1:6" x14ac:dyDescent="0.25">
      <c r="A57" s="212"/>
      <c r="F57" s="232"/>
    </row>
    <row r="58" spans="1:6" x14ac:dyDescent="0.25">
      <c r="A58" s="212"/>
      <c r="F58" s="232"/>
    </row>
    <row r="59" spans="1:6" x14ac:dyDescent="0.25">
      <c r="A59" s="212"/>
      <c r="F59" s="232"/>
    </row>
    <row r="60" spans="1:6" x14ac:dyDescent="0.25">
      <c r="A60" s="212"/>
      <c r="F60" s="232"/>
    </row>
    <row r="61" spans="1:6" x14ac:dyDescent="0.25">
      <c r="A61" s="212"/>
      <c r="F61" s="232"/>
    </row>
    <row r="62" spans="1:6" x14ac:dyDescent="0.25">
      <c r="A62" s="212"/>
      <c r="F62" s="232"/>
    </row>
    <row r="63" spans="1:6" x14ac:dyDescent="0.25">
      <c r="A63" s="212"/>
      <c r="F63" s="232"/>
    </row>
    <row r="64" spans="1:6" x14ac:dyDescent="0.25">
      <c r="A64" s="212"/>
      <c r="F64" s="232"/>
    </row>
    <row r="65" spans="1:6" x14ac:dyDescent="0.25">
      <c r="A65" s="212"/>
      <c r="F65" s="232"/>
    </row>
    <row r="66" spans="1:6" x14ac:dyDescent="0.25">
      <c r="A66" s="212"/>
      <c r="F66" s="232"/>
    </row>
    <row r="67" spans="1:6" x14ac:dyDescent="0.25">
      <c r="A67" s="212"/>
      <c r="F67" s="232"/>
    </row>
    <row r="68" spans="1:6" x14ac:dyDescent="0.25">
      <c r="A68" s="212"/>
      <c r="F68" s="232"/>
    </row>
    <row r="69" spans="1:6" x14ac:dyDescent="0.25">
      <c r="A69" s="212"/>
      <c r="F69" s="232"/>
    </row>
    <row r="70" spans="1:6" x14ac:dyDescent="0.25">
      <c r="A70" s="212"/>
      <c r="F70" s="232"/>
    </row>
    <row r="71" spans="1:6" x14ac:dyDescent="0.25">
      <c r="A71" s="212"/>
      <c r="F71" s="232"/>
    </row>
    <row r="72" spans="1:6" x14ac:dyDescent="0.25">
      <c r="A72" s="212"/>
      <c r="F72" s="232"/>
    </row>
    <row r="73" spans="1:6" x14ac:dyDescent="0.25">
      <c r="A73" s="212"/>
      <c r="F73" s="232"/>
    </row>
    <row r="74" spans="1:6" x14ac:dyDescent="0.25">
      <c r="A74" s="212"/>
      <c r="F74" s="232"/>
    </row>
    <row r="75" spans="1:6" x14ac:dyDescent="0.25">
      <c r="A75" s="212"/>
      <c r="F75" s="232"/>
    </row>
    <row r="76" spans="1:6" x14ac:dyDescent="0.25">
      <c r="A76" s="212"/>
      <c r="F76" s="232"/>
    </row>
    <row r="77" spans="1:6" x14ac:dyDescent="0.25">
      <c r="A77" s="212"/>
      <c r="F77" s="232"/>
    </row>
    <row r="78" spans="1:6" x14ac:dyDescent="0.25">
      <c r="A78" s="212"/>
      <c r="F78" s="232"/>
    </row>
    <row r="79" spans="1:6" x14ac:dyDescent="0.25">
      <c r="A79" s="212"/>
      <c r="F79" s="232"/>
    </row>
    <row r="80" spans="1:6" x14ac:dyDescent="0.25">
      <c r="A80" s="212"/>
      <c r="F80" s="232"/>
    </row>
    <row r="81" spans="1:6" x14ac:dyDescent="0.25">
      <c r="A81" s="212"/>
      <c r="F81" s="232"/>
    </row>
    <row r="82" spans="1:6" x14ac:dyDescent="0.25">
      <c r="A82" s="212"/>
      <c r="F82" s="232"/>
    </row>
    <row r="83" spans="1:6" x14ac:dyDescent="0.25">
      <c r="A83" s="212"/>
      <c r="F83" s="232"/>
    </row>
    <row r="84" spans="1:6" x14ac:dyDescent="0.25">
      <c r="A84" s="212"/>
      <c r="F84" s="232"/>
    </row>
    <row r="85" spans="1:6" x14ac:dyDescent="0.25">
      <c r="A85" s="212"/>
      <c r="F85" s="232"/>
    </row>
    <row r="86" spans="1:6" x14ac:dyDescent="0.25">
      <c r="A86" s="212"/>
      <c r="F86" s="232"/>
    </row>
    <row r="87" spans="1:6" x14ac:dyDescent="0.25">
      <c r="A87" s="212"/>
      <c r="F87" s="232"/>
    </row>
    <row r="88" spans="1:6" x14ac:dyDescent="0.25">
      <c r="A88" s="212"/>
      <c r="F88" s="232"/>
    </row>
    <row r="89" spans="1:6" x14ac:dyDescent="0.25">
      <c r="A89" s="212"/>
      <c r="F89" s="232"/>
    </row>
    <row r="90" spans="1:6" x14ac:dyDescent="0.25">
      <c r="A90" s="212"/>
      <c r="F90" s="232"/>
    </row>
    <row r="91" spans="1:6" x14ac:dyDescent="0.25">
      <c r="A91" s="212"/>
      <c r="F91" s="232"/>
    </row>
    <row r="92" spans="1:6" x14ac:dyDescent="0.25">
      <c r="A92" s="212"/>
      <c r="F92" s="232"/>
    </row>
    <row r="93" spans="1:6" x14ac:dyDescent="0.25">
      <c r="A93" s="212"/>
      <c r="F93" s="232"/>
    </row>
    <row r="94" spans="1:6" x14ac:dyDescent="0.25">
      <c r="A94" s="212"/>
      <c r="F94" s="232"/>
    </row>
    <row r="95" spans="1:6" x14ac:dyDescent="0.25">
      <c r="A95" s="212"/>
      <c r="F95" s="232"/>
    </row>
    <row r="96" spans="1:6" x14ac:dyDescent="0.25">
      <c r="A96" s="212"/>
      <c r="F96" s="232"/>
    </row>
    <row r="97" spans="1:6" x14ac:dyDescent="0.25">
      <c r="A97" s="212"/>
      <c r="F97" s="232"/>
    </row>
    <row r="98" spans="1:6" x14ac:dyDescent="0.25">
      <c r="A98" s="212"/>
      <c r="F98" s="232"/>
    </row>
    <row r="99" spans="1:6" x14ac:dyDescent="0.25">
      <c r="A99" s="212"/>
      <c r="F99" s="232"/>
    </row>
    <row r="100" spans="1:6" x14ac:dyDescent="0.25">
      <c r="A100" s="212"/>
      <c r="F100" s="232"/>
    </row>
    <row r="101" spans="1:6" x14ac:dyDescent="0.25">
      <c r="A101" s="212"/>
      <c r="F101" s="232"/>
    </row>
    <row r="102" spans="1:6" x14ac:dyDescent="0.25">
      <c r="A102" s="212"/>
      <c r="F102" s="232"/>
    </row>
    <row r="103" spans="1:6" x14ac:dyDescent="0.25">
      <c r="A103" s="212"/>
      <c r="F103" s="232"/>
    </row>
    <row r="104" spans="1:6" x14ac:dyDescent="0.25">
      <c r="A104" s="212"/>
      <c r="F104" s="232"/>
    </row>
    <row r="105" spans="1:6" x14ac:dyDescent="0.25">
      <c r="A105" s="212"/>
      <c r="F105" s="232"/>
    </row>
    <row r="106" spans="1:6" x14ac:dyDescent="0.25">
      <c r="A106" s="212"/>
      <c r="F106" s="232"/>
    </row>
    <row r="107" spans="1:6" x14ac:dyDescent="0.25">
      <c r="A107" s="212"/>
      <c r="F107" s="232"/>
    </row>
    <row r="108" spans="1:6" x14ac:dyDescent="0.25">
      <c r="A108" s="212"/>
      <c r="F108" s="232"/>
    </row>
    <row r="109" spans="1:6" x14ac:dyDescent="0.25">
      <c r="A109" s="212"/>
      <c r="F109" s="232"/>
    </row>
    <row r="110" spans="1:6" x14ac:dyDescent="0.25">
      <c r="A110" s="212"/>
      <c r="F110" s="232"/>
    </row>
    <row r="111" spans="1:6" x14ac:dyDescent="0.25">
      <c r="A111" s="212"/>
      <c r="F111" s="232"/>
    </row>
    <row r="112" spans="1:6" x14ac:dyDescent="0.25">
      <c r="A112" s="212"/>
      <c r="F112" s="232"/>
    </row>
    <row r="113" spans="1:6" x14ac:dyDescent="0.25">
      <c r="A113" s="212"/>
      <c r="F113" s="232"/>
    </row>
    <row r="114" spans="1:6" x14ac:dyDescent="0.25">
      <c r="A114" s="212"/>
      <c r="F114" s="232"/>
    </row>
    <row r="115" spans="1:6" x14ac:dyDescent="0.25">
      <c r="A115" s="212"/>
      <c r="F115" s="232"/>
    </row>
    <row r="116" spans="1:6" x14ac:dyDescent="0.25">
      <c r="A116" s="212"/>
      <c r="F116" s="232"/>
    </row>
    <row r="117" spans="1:6" x14ac:dyDescent="0.25">
      <c r="A117" s="212"/>
      <c r="F117" s="232"/>
    </row>
    <row r="118" spans="1:6" x14ac:dyDescent="0.25">
      <c r="A118" s="212"/>
      <c r="F118" s="232"/>
    </row>
    <row r="119" spans="1:6" x14ac:dyDescent="0.25">
      <c r="A119" s="212"/>
      <c r="F119" s="232"/>
    </row>
    <row r="120" spans="1:6" x14ac:dyDescent="0.25">
      <c r="A120" s="212"/>
      <c r="F120" s="232"/>
    </row>
    <row r="121" spans="1:6" x14ac:dyDescent="0.25">
      <c r="A121" s="212"/>
      <c r="F121" s="232"/>
    </row>
    <row r="122" spans="1:6" x14ac:dyDescent="0.25">
      <c r="A122" s="212"/>
      <c r="F122" s="232"/>
    </row>
    <row r="123" spans="1:6" x14ac:dyDescent="0.25">
      <c r="A123" s="212"/>
      <c r="F123" s="232"/>
    </row>
    <row r="124" spans="1:6" x14ac:dyDescent="0.25">
      <c r="A124" s="212"/>
      <c r="F124" s="232"/>
    </row>
    <row r="125" spans="1:6" x14ac:dyDescent="0.25">
      <c r="A125" s="212"/>
      <c r="F125" s="232"/>
    </row>
    <row r="126" spans="1:6" x14ac:dyDescent="0.25">
      <c r="A126" s="212"/>
      <c r="F126" s="232"/>
    </row>
    <row r="127" spans="1:6" x14ac:dyDescent="0.25">
      <c r="A127" s="212"/>
      <c r="F127" s="232"/>
    </row>
    <row r="128" spans="1:6" x14ac:dyDescent="0.25">
      <c r="A128" s="212"/>
      <c r="F128" s="232"/>
    </row>
    <row r="129" spans="1:6" x14ac:dyDescent="0.25">
      <c r="A129" s="212"/>
      <c r="F129" s="232"/>
    </row>
    <row r="130" spans="1:6" x14ac:dyDescent="0.25">
      <c r="A130" s="212"/>
      <c r="F130" s="232"/>
    </row>
    <row r="131" spans="1:6" x14ac:dyDescent="0.25">
      <c r="A131" s="212"/>
      <c r="F131" s="232"/>
    </row>
    <row r="132" spans="1:6" x14ac:dyDescent="0.25">
      <c r="A132" s="212"/>
      <c r="F132" s="232"/>
    </row>
    <row r="133" spans="1:6" x14ac:dyDescent="0.25">
      <c r="A133" s="212"/>
      <c r="F133" s="232"/>
    </row>
    <row r="134" spans="1:6" x14ac:dyDescent="0.25">
      <c r="A134" s="212"/>
      <c r="F134" s="232"/>
    </row>
    <row r="135" spans="1:6" x14ac:dyDescent="0.25">
      <c r="A135" s="212"/>
      <c r="F135" s="232"/>
    </row>
    <row r="136" spans="1:6" x14ac:dyDescent="0.25">
      <c r="A136" s="212"/>
      <c r="F136" s="232"/>
    </row>
    <row r="137" spans="1:6" x14ac:dyDescent="0.25">
      <c r="A137" s="212"/>
      <c r="F137" s="232"/>
    </row>
    <row r="138" spans="1:6" x14ac:dyDescent="0.25">
      <c r="A138" s="212"/>
      <c r="F138" s="232"/>
    </row>
    <row r="139" spans="1:6" x14ac:dyDescent="0.25">
      <c r="A139" s="212"/>
      <c r="F139" s="232"/>
    </row>
    <row r="140" spans="1:6" x14ac:dyDescent="0.25">
      <c r="A140" s="212"/>
      <c r="F140" s="232"/>
    </row>
    <row r="141" spans="1:6" x14ac:dyDescent="0.25">
      <c r="A141" s="212"/>
      <c r="F141" s="232"/>
    </row>
    <row r="142" spans="1:6" x14ac:dyDescent="0.25">
      <c r="A142" s="212"/>
      <c r="F142" s="232"/>
    </row>
    <row r="143" spans="1:6" x14ac:dyDescent="0.25">
      <c r="A143" s="212"/>
      <c r="F143" s="232"/>
    </row>
    <row r="144" spans="1:6" x14ac:dyDescent="0.25">
      <c r="A144" s="212"/>
      <c r="F144" s="232"/>
    </row>
    <row r="145" spans="1:6" x14ac:dyDescent="0.25">
      <c r="A145" s="212"/>
      <c r="F145" s="232"/>
    </row>
    <row r="146" spans="1:6" x14ac:dyDescent="0.25">
      <c r="A146" s="212"/>
      <c r="F146" s="232"/>
    </row>
    <row r="147" spans="1:6" x14ac:dyDescent="0.25">
      <c r="A147" s="212"/>
      <c r="F147" s="232"/>
    </row>
    <row r="148" spans="1:6" x14ac:dyDescent="0.25">
      <c r="A148" s="212"/>
      <c r="F148" s="232"/>
    </row>
    <row r="149" spans="1:6" x14ac:dyDescent="0.25">
      <c r="A149" s="212"/>
      <c r="F149" s="232"/>
    </row>
    <row r="150" spans="1:6" x14ac:dyDescent="0.25">
      <c r="A150" s="212"/>
      <c r="F150" s="232"/>
    </row>
    <row r="151" spans="1:6" x14ac:dyDescent="0.25">
      <c r="A151" s="212"/>
      <c r="F151" s="232"/>
    </row>
    <row r="152" spans="1:6" x14ac:dyDescent="0.25">
      <c r="A152" s="212"/>
      <c r="F152" s="232"/>
    </row>
    <row r="153" spans="1:6" x14ac:dyDescent="0.25">
      <c r="A153" s="212"/>
      <c r="F153" s="232"/>
    </row>
    <row r="154" spans="1:6" x14ac:dyDescent="0.25">
      <c r="A154" s="212"/>
      <c r="F154" s="232"/>
    </row>
    <row r="155" spans="1:6" x14ac:dyDescent="0.25">
      <c r="A155" s="212"/>
      <c r="F155" s="232"/>
    </row>
    <row r="156" spans="1:6" x14ac:dyDescent="0.25">
      <c r="A156" s="212"/>
      <c r="F156" s="232"/>
    </row>
    <row r="157" spans="1:6" x14ac:dyDescent="0.25">
      <c r="A157" s="212"/>
      <c r="F157" s="232"/>
    </row>
    <row r="158" spans="1:6" x14ac:dyDescent="0.25">
      <c r="A158" s="212"/>
      <c r="F158" s="232"/>
    </row>
    <row r="159" spans="1:6" x14ac:dyDescent="0.25">
      <c r="A159" s="212"/>
      <c r="F159" s="232"/>
    </row>
    <row r="160" spans="1:6" x14ac:dyDescent="0.25">
      <c r="A160" s="212"/>
      <c r="F160" s="232"/>
    </row>
    <row r="161" spans="1:6" x14ac:dyDescent="0.25">
      <c r="A161" s="212"/>
      <c r="F161" s="232"/>
    </row>
    <row r="162" spans="1:6" x14ac:dyDescent="0.25">
      <c r="A162" s="212"/>
      <c r="F162" s="232"/>
    </row>
    <row r="163" spans="1:6" x14ac:dyDescent="0.25">
      <c r="A163" s="212"/>
      <c r="F163" s="232"/>
    </row>
    <row r="164" spans="1:6" x14ac:dyDescent="0.25">
      <c r="A164" s="212"/>
      <c r="F164" s="232"/>
    </row>
    <row r="165" spans="1:6" x14ac:dyDescent="0.25">
      <c r="A165" s="212"/>
      <c r="F165" s="232"/>
    </row>
    <row r="166" spans="1:6" x14ac:dyDescent="0.25">
      <c r="A166" s="212"/>
      <c r="F166" s="232"/>
    </row>
    <row r="167" spans="1:6" x14ac:dyDescent="0.25">
      <c r="A167" s="212"/>
      <c r="F167" s="232"/>
    </row>
    <row r="168" spans="1:6" x14ac:dyDescent="0.25">
      <c r="A168" s="212"/>
      <c r="F168" s="232"/>
    </row>
    <row r="169" spans="1:6" x14ac:dyDescent="0.25">
      <c r="A169" s="212"/>
      <c r="F169" s="232"/>
    </row>
    <row r="170" spans="1:6" x14ac:dyDescent="0.25">
      <c r="A170" s="212"/>
      <c r="F170" s="232"/>
    </row>
    <row r="171" spans="1:6" x14ac:dyDescent="0.25">
      <c r="A171" s="212"/>
      <c r="F171" s="232"/>
    </row>
    <row r="172" spans="1:6" x14ac:dyDescent="0.25">
      <c r="A172" s="212"/>
      <c r="F172" s="232"/>
    </row>
    <row r="173" spans="1:6" x14ac:dyDescent="0.25">
      <c r="A173" s="212"/>
      <c r="F173" s="232"/>
    </row>
    <row r="174" spans="1:6" x14ac:dyDescent="0.25">
      <c r="A174" s="212"/>
      <c r="F174" s="232"/>
    </row>
    <row r="175" spans="1:6" x14ac:dyDescent="0.25">
      <c r="A175" s="212"/>
      <c r="F175" s="232"/>
    </row>
    <row r="176" spans="1:6" x14ac:dyDescent="0.25">
      <c r="A176" s="212"/>
      <c r="F176" s="232"/>
    </row>
    <row r="177" spans="1:6" x14ac:dyDescent="0.25">
      <c r="A177" s="212"/>
      <c r="F177" s="232"/>
    </row>
    <row r="178" spans="1:6" x14ac:dyDescent="0.25">
      <c r="A178" s="212"/>
      <c r="F178" s="232"/>
    </row>
    <row r="179" spans="1:6" x14ac:dyDescent="0.25">
      <c r="A179" s="212"/>
      <c r="F179" s="232"/>
    </row>
    <row r="180" spans="1:6" x14ac:dyDescent="0.25">
      <c r="A180" s="212"/>
      <c r="F180" s="232"/>
    </row>
    <row r="181" spans="1:6" x14ac:dyDescent="0.25">
      <c r="A181" s="212"/>
      <c r="F181" s="232"/>
    </row>
    <row r="182" spans="1:6" x14ac:dyDescent="0.25">
      <c r="A182" s="212"/>
      <c r="F182" s="232"/>
    </row>
    <row r="183" spans="1:6" x14ac:dyDescent="0.25">
      <c r="A183" s="212"/>
      <c r="F183" s="232"/>
    </row>
    <row r="184" spans="1:6" x14ac:dyDescent="0.25">
      <c r="A184" s="212"/>
      <c r="F184" s="232"/>
    </row>
    <row r="185" spans="1:6" x14ac:dyDescent="0.25">
      <c r="A185" s="212"/>
      <c r="F185" s="232"/>
    </row>
    <row r="186" spans="1:6" x14ac:dyDescent="0.25">
      <c r="A186" s="212"/>
      <c r="F186" s="232"/>
    </row>
    <row r="187" spans="1:6" x14ac:dyDescent="0.25">
      <c r="A187" s="212"/>
      <c r="F187" s="232"/>
    </row>
    <row r="188" spans="1:6" x14ac:dyDescent="0.25">
      <c r="A188" s="212"/>
      <c r="F188" s="232"/>
    </row>
    <row r="189" spans="1:6" x14ac:dyDescent="0.25">
      <c r="A189" s="212"/>
      <c r="F189" s="232"/>
    </row>
    <row r="190" spans="1:6" x14ac:dyDescent="0.25">
      <c r="A190" s="212"/>
      <c r="F190" s="232"/>
    </row>
    <row r="191" spans="1:6" x14ac:dyDescent="0.25">
      <c r="A191" s="212"/>
      <c r="F191" s="232"/>
    </row>
    <row r="192" spans="1:6" x14ac:dyDescent="0.25">
      <c r="A192" s="212"/>
      <c r="F192" s="232"/>
    </row>
    <row r="193" spans="1:6" x14ac:dyDescent="0.25">
      <c r="A193" s="212"/>
      <c r="F193" s="232"/>
    </row>
    <row r="194" spans="1:6" x14ac:dyDescent="0.25">
      <c r="A194" s="212"/>
      <c r="F194" s="232"/>
    </row>
    <row r="195" spans="1:6" x14ac:dyDescent="0.25">
      <c r="A195" s="212"/>
      <c r="F195" s="232"/>
    </row>
    <row r="196" spans="1:6" x14ac:dyDescent="0.25">
      <c r="A196" s="212"/>
      <c r="F196" s="232"/>
    </row>
    <row r="197" spans="1:6" x14ac:dyDescent="0.25">
      <c r="A197" s="212"/>
      <c r="F197" s="232"/>
    </row>
    <row r="198" spans="1:6" x14ac:dyDescent="0.25">
      <c r="A198" s="212"/>
      <c r="F198" s="232"/>
    </row>
    <row r="199" spans="1:6" x14ac:dyDescent="0.25">
      <c r="A199" s="212"/>
      <c r="F199" s="232"/>
    </row>
    <row r="200" spans="1:6" x14ac:dyDescent="0.25">
      <c r="A200" s="212"/>
      <c r="F200" s="232"/>
    </row>
    <row r="201" spans="1:6" x14ac:dyDescent="0.25">
      <c r="A201" s="212"/>
      <c r="F201" s="232"/>
    </row>
    <row r="202" spans="1:6" x14ac:dyDescent="0.25">
      <c r="A202" s="212"/>
      <c r="F202" s="232"/>
    </row>
    <row r="203" spans="1:6" x14ac:dyDescent="0.25">
      <c r="A203" s="212"/>
      <c r="F203" s="232"/>
    </row>
    <row r="204" spans="1:6" x14ac:dyDescent="0.25">
      <c r="A204" s="212"/>
      <c r="F204" s="232"/>
    </row>
    <row r="205" spans="1:6" x14ac:dyDescent="0.25">
      <c r="A205" s="212"/>
      <c r="F205" s="232"/>
    </row>
    <row r="206" spans="1:6" x14ac:dyDescent="0.25">
      <c r="A206" s="212"/>
      <c r="F206" s="232"/>
    </row>
    <row r="207" spans="1:6" x14ac:dyDescent="0.25">
      <c r="A207" s="212"/>
      <c r="F207" s="232"/>
    </row>
    <row r="208" spans="1:6" x14ac:dyDescent="0.25">
      <c r="A208" s="212"/>
      <c r="F208" s="232"/>
    </row>
    <row r="209" spans="1:6" x14ac:dyDescent="0.25">
      <c r="A209" s="212"/>
      <c r="F209" s="232"/>
    </row>
    <row r="210" spans="1:6" x14ac:dyDescent="0.25">
      <c r="A210" s="212"/>
      <c r="F210" s="232"/>
    </row>
    <row r="211" spans="1:6" x14ac:dyDescent="0.25">
      <c r="A211" s="212"/>
      <c r="F211" s="232"/>
    </row>
    <row r="212" spans="1:6" x14ac:dyDescent="0.25">
      <c r="A212" s="212"/>
      <c r="F212" s="232"/>
    </row>
    <row r="213" spans="1:6" x14ac:dyDescent="0.25">
      <c r="A213" s="212"/>
      <c r="F213" s="232"/>
    </row>
    <row r="214" spans="1:6" x14ac:dyDescent="0.25">
      <c r="A214" s="212"/>
      <c r="F214" s="232"/>
    </row>
    <row r="215" spans="1:6" x14ac:dyDescent="0.25">
      <c r="A215" s="212"/>
      <c r="F215" s="232"/>
    </row>
    <row r="216" spans="1:6" x14ac:dyDescent="0.25">
      <c r="A216" s="212"/>
      <c r="F216" s="232"/>
    </row>
    <row r="217" spans="1:6" x14ac:dyDescent="0.25">
      <c r="A217" s="212"/>
      <c r="F217" s="232"/>
    </row>
    <row r="218" spans="1:6" x14ac:dyDescent="0.25">
      <c r="A218" s="212"/>
      <c r="F218" s="232"/>
    </row>
    <row r="219" spans="1:6" x14ac:dyDescent="0.25">
      <c r="A219" s="212"/>
      <c r="F219" s="232"/>
    </row>
    <row r="220" spans="1:6" x14ac:dyDescent="0.25">
      <c r="A220" s="212"/>
      <c r="F220" s="232"/>
    </row>
    <row r="221" spans="1:6" x14ac:dyDescent="0.25">
      <c r="A221" s="212"/>
      <c r="F221" s="232"/>
    </row>
    <row r="222" spans="1:6" x14ac:dyDescent="0.25">
      <c r="A222" s="212"/>
      <c r="F222" s="232"/>
    </row>
    <row r="223" spans="1:6" x14ac:dyDescent="0.25">
      <c r="A223" s="212"/>
      <c r="F223" s="232"/>
    </row>
    <row r="224" spans="1:6" x14ac:dyDescent="0.25">
      <c r="A224" s="212"/>
      <c r="F224" s="232"/>
    </row>
    <row r="225" spans="1:6" x14ac:dyDescent="0.25">
      <c r="A225" s="212"/>
      <c r="F225" s="232"/>
    </row>
    <row r="226" spans="1:6" x14ac:dyDescent="0.25">
      <c r="A226" s="212"/>
      <c r="F226" s="232"/>
    </row>
    <row r="227" spans="1:6" x14ac:dyDescent="0.25">
      <c r="A227" s="212"/>
      <c r="F227" s="232"/>
    </row>
    <row r="228" spans="1:6" x14ac:dyDescent="0.25">
      <c r="A228" s="212"/>
      <c r="F228" s="232"/>
    </row>
    <row r="229" spans="1:6" x14ac:dyDescent="0.25">
      <c r="A229" s="212"/>
      <c r="F229" s="232"/>
    </row>
    <row r="230" spans="1:6" x14ac:dyDescent="0.25">
      <c r="A230" s="212"/>
      <c r="F230" s="232"/>
    </row>
    <row r="231" spans="1:6" x14ac:dyDescent="0.25">
      <c r="A231" s="212"/>
      <c r="F231" s="232"/>
    </row>
    <row r="232" spans="1:6" x14ac:dyDescent="0.25">
      <c r="A232" s="212"/>
      <c r="F232" s="232"/>
    </row>
    <row r="233" spans="1:6" x14ac:dyDescent="0.25">
      <c r="A233" s="212"/>
    </row>
    <row r="234" spans="1:6" x14ac:dyDescent="0.25">
      <c r="A234" s="212"/>
    </row>
    <row r="235" spans="1:6" x14ac:dyDescent="0.25">
      <c r="A235" s="212"/>
    </row>
    <row r="236" spans="1:6" x14ac:dyDescent="0.25">
      <c r="A236" s="212"/>
    </row>
    <row r="237" spans="1:6" x14ac:dyDescent="0.25">
      <c r="A237" s="212"/>
    </row>
    <row r="238" spans="1:6" x14ac:dyDescent="0.25">
      <c r="A238" s="212"/>
    </row>
    <row r="239" spans="1:6" x14ac:dyDescent="0.25">
      <c r="A239" s="212"/>
    </row>
    <row r="240" spans="1:6" x14ac:dyDescent="0.25">
      <c r="A240" s="212"/>
    </row>
    <row r="241" spans="1:1" x14ac:dyDescent="0.25">
      <c r="A241" s="212"/>
    </row>
    <row r="242" spans="1:1" x14ac:dyDescent="0.25">
      <c r="A242" s="212"/>
    </row>
    <row r="243" spans="1:1" x14ac:dyDescent="0.25">
      <c r="A243" s="212"/>
    </row>
    <row r="244" spans="1:1" x14ac:dyDescent="0.25">
      <c r="A244" s="212"/>
    </row>
    <row r="245" spans="1:1" x14ac:dyDescent="0.25">
      <c r="A245" s="212"/>
    </row>
    <row r="246" spans="1:1" x14ac:dyDescent="0.25">
      <c r="A246" s="212"/>
    </row>
    <row r="247" spans="1:1" x14ac:dyDescent="0.25">
      <c r="A247" s="212"/>
    </row>
    <row r="248" spans="1:1" x14ac:dyDescent="0.25">
      <c r="A248" s="212"/>
    </row>
    <row r="249" spans="1:1" x14ac:dyDescent="0.25">
      <c r="A249" s="212"/>
    </row>
    <row r="250" spans="1:1" x14ac:dyDescent="0.25">
      <c r="A250" s="212"/>
    </row>
    <row r="251" spans="1:1" x14ac:dyDescent="0.25">
      <c r="A251" s="212"/>
    </row>
    <row r="252" spans="1:1" x14ac:dyDescent="0.25">
      <c r="A252" s="212"/>
    </row>
    <row r="253" spans="1:1" x14ac:dyDescent="0.25">
      <c r="A253" s="212"/>
    </row>
    <row r="254" spans="1:1" x14ac:dyDescent="0.25">
      <c r="A254" s="212"/>
    </row>
    <row r="255" spans="1:1" x14ac:dyDescent="0.25">
      <c r="A255" s="212"/>
    </row>
    <row r="256" spans="1:1" x14ac:dyDescent="0.25">
      <c r="A256" s="212"/>
    </row>
    <row r="257" spans="1:1" x14ac:dyDescent="0.25">
      <c r="A257" s="212"/>
    </row>
    <row r="258" spans="1:1" x14ac:dyDescent="0.25">
      <c r="A258" s="212"/>
    </row>
    <row r="259" spans="1:1" x14ac:dyDescent="0.25">
      <c r="A259" s="212"/>
    </row>
    <row r="260" spans="1:1" x14ac:dyDescent="0.25">
      <c r="A260" s="212"/>
    </row>
    <row r="261" spans="1:1" x14ac:dyDescent="0.25">
      <c r="A261" s="212"/>
    </row>
    <row r="262" spans="1:1" x14ac:dyDescent="0.25">
      <c r="A262" s="212"/>
    </row>
    <row r="263" spans="1:1" x14ac:dyDescent="0.25">
      <c r="A263" s="212"/>
    </row>
    <row r="264" spans="1:1" x14ac:dyDescent="0.25">
      <c r="A264" s="212"/>
    </row>
    <row r="265" spans="1:1" x14ac:dyDescent="0.25">
      <c r="A265" s="212"/>
    </row>
    <row r="266" spans="1:1" x14ac:dyDescent="0.25">
      <c r="A266" s="212"/>
    </row>
    <row r="267" spans="1:1" x14ac:dyDescent="0.25">
      <c r="A267" s="212"/>
    </row>
    <row r="268" spans="1:1" x14ac:dyDescent="0.25">
      <c r="A268" s="212"/>
    </row>
    <row r="269" spans="1:1" x14ac:dyDescent="0.25">
      <c r="A269" s="212"/>
    </row>
    <row r="270" spans="1:1" x14ac:dyDescent="0.25">
      <c r="A270" s="212"/>
    </row>
    <row r="271" spans="1:1" x14ac:dyDescent="0.25">
      <c r="A271" s="212"/>
    </row>
    <row r="272" spans="1:1" x14ac:dyDescent="0.25">
      <c r="A272" s="212"/>
    </row>
    <row r="273" spans="1:1" x14ac:dyDescent="0.25">
      <c r="A273" s="212"/>
    </row>
    <row r="274" spans="1:1" x14ac:dyDescent="0.25">
      <c r="A274" s="212"/>
    </row>
    <row r="275" spans="1:1" x14ac:dyDescent="0.25">
      <c r="A275" s="212"/>
    </row>
    <row r="276" spans="1:1" x14ac:dyDescent="0.25">
      <c r="A276" s="212"/>
    </row>
    <row r="277" spans="1:1" x14ac:dyDescent="0.25">
      <c r="A277" s="212"/>
    </row>
    <row r="278" spans="1:1" x14ac:dyDescent="0.25">
      <c r="A278" s="212"/>
    </row>
    <row r="279" spans="1:1" x14ac:dyDescent="0.25">
      <c r="A279" s="212"/>
    </row>
    <row r="280" spans="1:1" x14ac:dyDescent="0.25">
      <c r="A280" s="212"/>
    </row>
    <row r="281" spans="1:1" x14ac:dyDescent="0.25">
      <c r="A281" s="212"/>
    </row>
    <row r="282" spans="1:1" x14ac:dyDescent="0.25">
      <c r="A282" s="212"/>
    </row>
    <row r="283" spans="1:1" x14ac:dyDescent="0.25">
      <c r="A283" s="212"/>
    </row>
    <row r="284" spans="1:1" x14ac:dyDescent="0.25">
      <c r="A284" s="212"/>
    </row>
    <row r="285" spans="1:1" x14ac:dyDescent="0.25">
      <c r="A285" s="212"/>
    </row>
    <row r="286" spans="1:1" x14ac:dyDescent="0.25">
      <c r="A286" s="212"/>
    </row>
    <row r="287" spans="1:1" x14ac:dyDescent="0.25">
      <c r="A287" s="212"/>
    </row>
    <row r="288" spans="1:1" x14ac:dyDescent="0.25">
      <c r="A288" s="212"/>
    </row>
    <row r="289" spans="1:1" x14ac:dyDescent="0.25">
      <c r="A289" s="212"/>
    </row>
    <row r="290" spans="1:1" x14ac:dyDescent="0.25">
      <c r="A290" s="212"/>
    </row>
    <row r="291" spans="1:1" x14ac:dyDescent="0.25">
      <c r="A291" s="212"/>
    </row>
    <row r="292" spans="1:1" x14ac:dyDescent="0.25">
      <c r="A292" s="212"/>
    </row>
    <row r="293" spans="1:1" x14ac:dyDescent="0.25">
      <c r="A293" s="212"/>
    </row>
    <row r="294" spans="1:1" x14ac:dyDescent="0.25">
      <c r="A294" s="212"/>
    </row>
    <row r="295" spans="1:1" x14ac:dyDescent="0.25">
      <c r="A295" s="212"/>
    </row>
    <row r="296" spans="1:1" x14ac:dyDescent="0.25">
      <c r="A296" s="212"/>
    </row>
    <row r="297" spans="1:1" x14ac:dyDescent="0.25">
      <c r="A297" s="212"/>
    </row>
    <row r="298" spans="1:1" x14ac:dyDescent="0.25">
      <c r="A298" s="212"/>
    </row>
    <row r="299" spans="1:1" x14ac:dyDescent="0.25">
      <c r="A299" s="212"/>
    </row>
    <row r="300" spans="1:1" x14ac:dyDescent="0.25">
      <c r="A300" s="212"/>
    </row>
    <row r="301" spans="1:1" x14ac:dyDescent="0.25">
      <c r="A301" s="212"/>
    </row>
    <row r="302" spans="1:1" x14ac:dyDescent="0.25">
      <c r="A302" s="212"/>
    </row>
    <row r="303" spans="1:1" x14ac:dyDescent="0.25">
      <c r="A303" s="212"/>
    </row>
    <row r="304" spans="1:1" x14ac:dyDescent="0.25">
      <c r="A304" s="212"/>
    </row>
    <row r="305" spans="1:1" x14ac:dyDescent="0.25">
      <c r="A305" s="212"/>
    </row>
    <row r="306" spans="1:1" x14ac:dyDescent="0.25">
      <c r="A306" s="212"/>
    </row>
    <row r="307" spans="1:1" x14ac:dyDescent="0.25">
      <c r="A307" s="212"/>
    </row>
    <row r="308" spans="1:1" x14ac:dyDescent="0.25">
      <c r="A308" s="212"/>
    </row>
    <row r="309" spans="1:1" x14ac:dyDescent="0.25">
      <c r="A309" s="212"/>
    </row>
    <row r="310" spans="1:1" x14ac:dyDescent="0.25">
      <c r="A310" s="212"/>
    </row>
    <row r="311" spans="1:1" x14ac:dyDescent="0.25">
      <c r="A311" s="212"/>
    </row>
    <row r="312" spans="1:1" x14ac:dyDescent="0.25">
      <c r="A312" s="212"/>
    </row>
    <row r="313" spans="1:1" x14ac:dyDescent="0.25">
      <c r="A313" s="212"/>
    </row>
    <row r="314" spans="1:1" x14ac:dyDescent="0.25">
      <c r="A314" s="212"/>
    </row>
    <row r="315" spans="1:1" x14ac:dyDescent="0.25">
      <c r="A315" s="212"/>
    </row>
    <row r="316" spans="1:1" x14ac:dyDescent="0.25">
      <c r="A316" s="212"/>
    </row>
    <row r="317" spans="1:1" x14ac:dyDescent="0.25">
      <c r="A317" s="212"/>
    </row>
    <row r="318" spans="1:1" x14ac:dyDescent="0.25">
      <c r="A318" s="212"/>
    </row>
    <row r="319" spans="1:1" x14ac:dyDescent="0.25">
      <c r="A319" s="212"/>
    </row>
    <row r="320" spans="1:1" x14ac:dyDescent="0.25">
      <c r="A320" s="212"/>
    </row>
    <row r="321" spans="1:1" x14ac:dyDescent="0.25">
      <c r="A321" s="212"/>
    </row>
    <row r="322" spans="1:1" x14ac:dyDescent="0.25">
      <c r="A322" s="212"/>
    </row>
    <row r="323" spans="1:1" x14ac:dyDescent="0.25">
      <c r="A323" s="212"/>
    </row>
    <row r="324" spans="1:1" x14ac:dyDescent="0.25">
      <c r="A324" s="212"/>
    </row>
    <row r="325" spans="1:1" x14ac:dyDescent="0.25">
      <c r="A325" s="212"/>
    </row>
    <row r="326" spans="1:1" x14ac:dyDescent="0.25">
      <c r="A326" s="212"/>
    </row>
    <row r="327" spans="1:1" x14ac:dyDescent="0.25">
      <c r="A327" s="212"/>
    </row>
    <row r="328" spans="1:1" x14ac:dyDescent="0.25">
      <c r="A328" s="212"/>
    </row>
    <row r="329" spans="1:1" x14ac:dyDescent="0.25">
      <c r="A329" s="212"/>
    </row>
    <row r="330" spans="1:1" x14ac:dyDescent="0.25">
      <c r="A330" s="212"/>
    </row>
    <row r="331" spans="1:1" x14ac:dyDescent="0.25">
      <c r="A331" s="212"/>
    </row>
    <row r="332" spans="1:1" x14ac:dyDescent="0.25">
      <c r="A332" s="212"/>
    </row>
    <row r="333" spans="1:1" x14ac:dyDescent="0.25">
      <c r="A333" s="212"/>
    </row>
    <row r="334" spans="1:1" x14ac:dyDescent="0.25">
      <c r="A334" s="212"/>
    </row>
    <row r="335" spans="1:1" x14ac:dyDescent="0.25">
      <c r="A335" s="212"/>
    </row>
    <row r="336" spans="1:1" x14ac:dyDescent="0.25">
      <c r="A336" s="212"/>
    </row>
    <row r="337" spans="1:1" x14ac:dyDescent="0.25">
      <c r="A337" s="212"/>
    </row>
    <row r="338" spans="1:1" x14ac:dyDescent="0.25">
      <c r="A338" s="212"/>
    </row>
    <row r="339" spans="1:1" x14ac:dyDescent="0.25">
      <c r="A339" s="212"/>
    </row>
    <row r="340" spans="1:1" x14ac:dyDescent="0.25">
      <c r="A340" s="212"/>
    </row>
    <row r="341" spans="1:1" x14ac:dyDescent="0.25">
      <c r="A341" s="212"/>
    </row>
    <row r="342" spans="1:1" x14ac:dyDescent="0.25">
      <c r="A342" s="212"/>
    </row>
    <row r="343" spans="1:1" x14ac:dyDescent="0.25">
      <c r="A343" s="212"/>
    </row>
    <row r="344" spans="1:1" x14ac:dyDescent="0.25">
      <c r="A344" s="212"/>
    </row>
    <row r="345" spans="1:1" x14ac:dyDescent="0.25">
      <c r="A345" s="212"/>
    </row>
    <row r="346" spans="1:1" x14ac:dyDescent="0.25">
      <c r="A346" s="212"/>
    </row>
    <row r="347" spans="1:1" x14ac:dyDescent="0.25">
      <c r="A347" s="212"/>
    </row>
    <row r="348" spans="1:1" x14ac:dyDescent="0.25">
      <c r="A348" s="212"/>
    </row>
    <row r="349" spans="1:1" x14ac:dyDescent="0.25">
      <c r="A349" s="212"/>
    </row>
    <row r="350" spans="1:1" x14ac:dyDescent="0.25">
      <c r="A350" s="212"/>
    </row>
    <row r="351" spans="1:1" x14ac:dyDescent="0.25">
      <c r="A351" s="212"/>
    </row>
    <row r="352" spans="1:1" x14ac:dyDescent="0.25">
      <c r="A352" s="212"/>
    </row>
    <row r="353" spans="1:1" x14ac:dyDescent="0.25">
      <c r="A353" s="212"/>
    </row>
    <row r="354" spans="1:1" x14ac:dyDescent="0.25">
      <c r="A354" s="212"/>
    </row>
    <row r="355" spans="1:1" x14ac:dyDescent="0.25">
      <c r="A355" s="212"/>
    </row>
    <row r="356" spans="1:1" x14ac:dyDescent="0.25">
      <c r="A356" s="212"/>
    </row>
    <row r="357" spans="1:1" x14ac:dyDescent="0.25">
      <c r="A357" s="212"/>
    </row>
    <row r="358" spans="1:1" x14ac:dyDescent="0.25">
      <c r="A358" s="212"/>
    </row>
    <row r="359" spans="1:1" x14ac:dyDescent="0.25">
      <c r="A359" s="212"/>
    </row>
    <row r="360" spans="1:1" x14ac:dyDescent="0.25">
      <c r="A360" s="212"/>
    </row>
    <row r="361" spans="1:1" x14ac:dyDescent="0.25">
      <c r="A361" s="212"/>
    </row>
    <row r="362" spans="1:1" x14ac:dyDescent="0.25">
      <c r="A362" s="212"/>
    </row>
    <row r="363" spans="1:1" x14ac:dyDescent="0.25">
      <c r="A363" s="212"/>
    </row>
    <row r="364" spans="1:1" x14ac:dyDescent="0.25">
      <c r="A364" s="212"/>
    </row>
    <row r="365" spans="1:1" x14ac:dyDescent="0.25">
      <c r="A365" s="212"/>
    </row>
    <row r="366" spans="1:1" x14ac:dyDescent="0.25">
      <c r="A366" s="212"/>
    </row>
  </sheetData>
  <dataValidations count="2">
    <dataValidation type="list" allowBlank="1" showInputMessage="1" showErrorMessage="1" sqref="I2:I1048576" xr:uid="{FA35C86F-277A-4C58-B48A-D4D3178D53F7}">
      <formula1>"Academic, Government , Public, Resource Managers, Students, Other,"</formula1>
    </dataValidation>
    <dataValidation type="list" allowBlank="1" showInputMessage="1" showErrorMessage="1" sqref="F2:F232" xr:uid="{600FC26D-09D6-4B68-BE70-51BCD37308C0}">
      <formula1>"PI, CO-PI, Student, Other"</formula1>
    </dataValidation>
  </dataValidations>
  <pageMargins left="0.7" right="0.7" top="0.75" bottom="0.75" header="0.3" footer="0.3"/>
  <pageSetup scale="37"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84860-D0A2-465F-90D1-0B8307D0DF1B}">
  <sheetPr>
    <tabColor theme="5"/>
  </sheetPr>
  <dimension ref="A1:G543"/>
  <sheetViews>
    <sheetView workbookViewId="0">
      <selection activeCell="B18" sqref="B18"/>
    </sheetView>
  </sheetViews>
  <sheetFormatPr defaultColWidth="8.85546875" defaultRowHeight="15" x14ac:dyDescent="0.25"/>
  <cols>
    <col min="1" max="1" width="23.5703125" style="183" customWidth="1"/>
    <col min="2" max="2" width="116.28515625" style="213" customWidth="1"/>
    <col min="3" max="4" width="13.28515625" style="192" customWidth="1"/>
    <col min="5" max="5" width="29.28515625" style="184" customWidth="1"/>
    <col min="6" max="6" width="33" style="344" customWidth="1"/>
    <col min="7" max="7" width="15" style="345" customWidth="1"/>
    <col min="8" max="16384" width="8.85546875" style="245"/>
  </cols>
  <sheetData>
    <row r="1" spans="1:7" s="338" customFormat="1" ht="47.25" x14ac:dyDescent="0.25">
      <c r="A1" s="335" t="s">
        <v>364</v>
      </c>
      <c r="B1" s="316" t="s">
        <v>471</v>
      </c>
      <c r="C1" s="317" t="s">
        <v>426</v>
      </c>
      <c r="D1" s="317" t="s">
        <v>389</v>
      </c>
      <c r="E1" s="336" t="s">
        <v>472</v>
      </c>
      <c r="F1" s="337" t="s">
        <v>473</v>
      </c>
      <c r="G1" s="53" t="s">
        <v>368</v>
      </c>
    </row>
    <row r="2" spans="1:7" ht="30" x14ac:dyDescent="0.25">
      <c r="A2" s="238"/>
      <c r="B2" s="339" t="s">
        <v>474</v>
      </c>
      <c r="C2" s="340"/>
      <c r="D2" s="379">
        <v>43556</v>
      </c>
      <c r="E2" s="341"/>
      <c r="F2" s="342"/>
      <c r="G2" s="343"/>
    </row>
    <row r="3" spans="1:7" x14ac:dyDescent="0.25">
      <c r="A3" s="238"/>
      <c r="B3" s="213" t="s">
        <v>475</v>
      </c>
      <c r="D3" s="379">
        <v>42736</v>
      </c>
      <c r="E3" s="341" t="s">
        <v>476</v>
      </c>
    </row>
    <row r="4" spans="1:7" ht="30" x14ac:dyDescent="0.25">
      <c r="A4" s="238" t="s">
        <v>590</v>
      </c>
      <c r="B4" s="213" t="s">
        <v>588</v>
      </c>
      <c r="C4" s="192">
        <v>50</v>
      </c>
      <c r="D4" s="379">
        <v>43405</v>
      </c>
      <c r="E4" s="341" t="s">
        <v>443</v>
      </c>
      <c r="F4" s="344" t="s">
        <v>20</v>
      </c>
      <c r="G4" s="382" t="s">
        <v>589</v>
      </c>
    </row>
    <row r="5" spans="1:7" ht="30" x14ac:dyDescent="0.25">
      <c r="A5" s="238" t="s">
        <v>590</v>
      </c>
      <c r="B5" s="239" t="s">
        <v>592</v>
      </c>
      <c r="C5" s="192">
        <v>10</v>
      </c>
      <c r="D5" s="380">
        <v>43525</v>
      </c>
      <c r="E5" s="341" t="s">
        <v>443</v>
      </c>
      <c r="F5" s="344" t="s">
        <v>20</v>
      </c>
    </row>
    <row r="6" spans="1:7" ht="30" x14ac:dyDescent="0.25">
      <c r="A6" s="238" t="s">
        <v>590</v>
      </c>
      <c r="B6" s="239" t="s">
        <v>596</v>
      </c>
      <c r="C6" s="192">
        <v>10</v>
      </c>
      <c r="D6" s="384">
        <v>2019</v>
      </c>
      <c r="E6" s="341" t="s">
        <v>443</v>
      </c>
      <c r="F6" s="344" t="s">
        <v>20</v>
      </c>
    </row>
    <row r="7" spans="1:7" x14ac:dyDescent="0.25">
      <c r="A7" s="238" t="s">
        <v>237</v>
      </c>
      <c r="B7" s="213" t="s">
        <v>615</v>
      </c>
      <c r="D7" s="384">
        <v>2016</v>
      </c>
      <c r="E7" s="341" t="s">
        <v>476</v>
      </c>
      <c r="F7" s="344" t="s">
        <v>20</v>
      </c>
    </row>
    <row r="8" spans="1:7" ht="360" x14ac:dyDescent="0.25">
      <c r="A8" s="238" t="s">
        <v>237</v>
      </c>
      <c r="B8" s="213" t="s">
        <v>622</v>
      </c>
      <c r="D8" s="384">
        <v>2016</v>
      </c>
      <c r="E8" s="341" t="s">
        <v>476</v>
      </c>
      <c r="F8" s="344" t="s">
        <v>20</v>
      </c>
      <c r="G8" s="382" t="s">
        <v>623</v>
      </c>
    </row>
    <row r="9" spans="1:7" ht="30" x14ac:dyDescent="0.25">
      <c r="A9" s="238" t="s">
        <v>237</v>
      </c>
      <c r="B9" s="239" t="s">
        <v>624</v>
      </c>
      <c r="D9" s="384">
        <v>2016</v>
      </c>
      <c r="E9" s="341"/>
    </row>
    <row r="10" spans="1:7" ht="90" x14ac:dyDescent="0.25">
      <c r="A10" s="238" t="s">
        <v>237</v>
      </c>
      <c r="B10" s="213" t="s">
        <v>631</v>
      </c>
      <c r="C10" s="192">
        <v>10</v>
      </c>
      <c r="D10" s="379">
        <v>42401</v>
      </c>
      <c r="E10" s="341" t="s">
        <v>193</v>
      </c>
      <c r="F10" s="344" t="s">
        <v>20</v>
      </c>
      <c r="G10" s="382" t="s">
        <v>632</v>
      </c>
    </row>
    <row r="11" spans="1:7" x14ac:dyDescent="0.25">
      <c r="A11" s="238" t="s">
        <v>237</v>
      </c>
      <c r="B11" s="213" t="s">
        <v>633</v>
      </c>
      <c r="C11" s="192">
        <v>39</v>
      </c>
      <c r="D11" s="379">
        <v>42522</v>
      </c>
      <c r="E11" s="341" t="s">
        <v>40</v>
      </c>
      <c r="F11" s="344" t="s">
        <v>20</v>
      </c>
      <c r="G11" s="382"/>
    </row>
    <row r="12" spans="1:7" ht="90" x14ac:dyDescent="0.25">
      <c r="A12" s="238" t="s">
        <v>237</v>
      </c>
      <c r="B12" s="239" t="s">
        <v>634</v>
      </c>
      <c r="C12" s="192">
        <v>58</v>
      </c>
      <c r="D12" s="379">
        <v>42552</v>
      </c>
      <c r="E12" s="341" t="s">
        <v>193</v>
      </c>
      <c r="F12" s="344" t="s">
        <v>20</v>
      </c>
      <c r="G12" s="382" t="s">
        <v>632</v>
      </c>
    </row>
    <row r="13" spans="1:7" x14ac:dyDescent="0.25">
      <c r="A13" s="238" t="s">
        <v>237</v>
      </c>
      <c r="B13" s="213" t="s">
        <v>635</v>
      </c>
      <c r="C13" s="192">
        <v>20</v>
      </c>
      <c r="D13" s="379">
        <v>42583</v>
      </c>
      <c r="E13" s="341" t="s">
        <v>476</v>
      </c>
      <c r="F13" s="344" t="s">
        <v>20</v>
      </c>
      <c r="G13" s="382"/>
    </row>
    <row r="14" spans="1:7" x14ac:dyDescent="0.25">
      <c r="A14" s="238" t="s">
        <v>237</v>
      </c>
      <c r="B14" s="213" t="s">
        <v>636</v>
      </c>
      <c r="C14" s="192">
        <v>40</v>
      </c>
      <c r="D14" s="379">
        <v>42614</v>
      </c>
      <c r="E14" s="341" t="s">
        <v>476</v>
      </c>
      <c r="F14" s="344" t="s">
        <v>20</v>
      </c>
      <c r="G14" s="382"/>
    </row>
    <row r="15" spans="1:7" ht="90" x14ac:dyDescent="0.25">
      <c r="A15" s="238" t="s">
        <v>237</v>
      </c>
      <c r="B15" s="213" t="s">
        <v>637</v>
      </c>
      <c r="C15" s="192">
        <v>37</v>
      </c>
      <c r="D15" s="379">
        <v>42644</v>
      </c>
      <c r="E15" s="184" t="s">
        <v>193</v>
      </c>
      <c r="F15" s="344" t="s">
        <v>20</v>
      </c>
      <c r="G15" s="382" t="s">
        <v>632</v>
      </c>
    </row>
    <row r="16" spans="1:7" x14ac:dyDescent="0.25">
      <c r="A16" s="212"/>
    </row>
    <row r="17" spans="1:1" x14ac:dyDescent="0.25">
      <c r="A17" s="212"/>
    </row>
    <row r="18" spans="1:1" x14ac:dyDescent="0.25">
      <c r="A18" s="212"/>
    </row>
    <row r="19" spans="1:1" x14ac:dyDescent="0.25">
      <c r="A19" s="212"/>
    </row>
    <row r="20" spans="1:1" x14ac:dyDescent="0.25">
      <c r="A20" s="212"/>
    </row>
    <row r="21" spans="1:1" x14ac:dyDescent="0.25">
      <c r="A21" s="212"/>
    </row>
    <row r="22" spans="1:1" x14ac:dyDescent="0.25">
      <c r="A22" s="212"/>
    </row>
    <row r="23" spans="1:1" x14ac:dyDescent="0.25">
      <c r="A23" s="212"/>
    </row>
    <row r="24" spans="1:1" x14ac:dyDescent="0.25">
      <c r="A24" s="212"/>
    </row>
    <row r="25" spans="1:1" x14ac:dyDescent="0.25">
      <c r="A25" s="212"/>
    </row>
    <row r="26" spans="1:1" x14ac:dyDescent="0.25">
      <c r="A26" s="212"/>
    </row>
    <row r="27" spans="1:1" x14ac:dyDescent="0.25">
      <c r="A27" s="212"/>
    </row>
    <row r="28" spans="1:1" x14ac:dyDescent="0.25">
      <c r="A28" s="212"/>
    </row>
    <row r="29" spans="1:1" x14ac:dyDescent="0.25">
      <c r="A29" s="212"/>
    </row>
    <row r="30" spans="1:1" x14ac:dyDescent="0.25">
      <c r="A30" s="212"/>
    </row>
    <row r="31" spans="1:1" x14ac:dyDescent="0.25">
      <c r="A31" s="212"/>
    </row>
    <row r="32" spans="1:1" x14ac:dyDescent="0.25">
      <c r="A32" s="212"/>
    </row>
    <row r="33" spans="1:1" x14ac:dyDescent="0.25">
      <c r="A33" s="212"/>
    </row>
    <row r="34" spans="1:1" x14ac:dyDescent="0.25">
      <c r="A34" s="212"/>
    </row>
    <row r="35" spans="1:1" x14ac:dyDescent="0.25">
      <c r="A35" s="212"/>
    </row>
    <row r="36" spans="1:1" x14ac:dyDescent="0.25">
      <c r="A36" s="212"/>
    </row>
    <row r="37" spans="1:1" x14ac:dyDescent="0.25">
      <c r="A37" s="212"/>
    </row>
    <row r="38" spans="1:1" x14ac:dyDescent="0.25">
      <c r="A38" s="212"/>
    </row>
    <row r="39" spans="1:1" x14ac:dyDescent="0.25">
      <c r="A39" s="212"/>
    </row>
    <row r="40" spans="1:1" x14ac:dyDescent="0.25">
      <c r="A40" s="212"/>
    </row>
    <row r="41" spans="1:1" x14ac:dyDescent="0.25">
      <c r="A41" s="212"/>
    </row>
    <row r="42" spans="1:1" x14ac:dyDescent="0.25">
      <c r="A42" s="212"/>
    </row>
    <row r="43" spans="1:1" x14ac:dyDescent="0.25">
      <c r="A43" s="212"/>
    </row>
    <row r="44" spans="1:1" x14ac:dyDescent="0.25">
      <c r="A44" s="212"/>
    </row>
    <row r="45" spans="1:1" x14ac:dyDescent="0.25">
      <c r="A45" s="212"/>
    </row>
    <row r="46" spans="1:1" x14ac:dyDescent="0.25">
      <c r="A46" s="212"/>
    </row>
    <row r="47" spans="1:1" x14ac:dyDescent="0.25">
      <c r="A47" s="212"/>
    </row>
    <row r="48" spans="1:1" x14ac:dyDescent="0.25">
      <c r="A48" s="212"/>
    </row>
    <row r="49" spans="1:1" x14ac:dyDescent="0.25">
      <c r="A49" s="212"/>
    </row>
    <row r="50" spans="1:1" x14ac:dyDescent="0.25">
      <c r="A50" s="212"/>
    </row>
    <row r="51" spans="1:1" x14ac:dyDescent="0.25">
      <c r="A51" s="212"/>
    </row>
    <row r="52" spans="1:1" x14ac:dyDescent="0.25">
      <c r="A52" s="212"/>
    </row>
    <row r="53" spans="1:1" x14ac:dyDescent="0.25">
      <c r="A53" s="212"/>
    </row>
    <row r="54" spans="1:1" x14ac:dyDescent="0.25">
      <c r="A54" s="212"/>
    </row>
    <row r="55" spans="1:1" x14ac:dyDescent="0.25">
      <c r="A55" s="212"/>
    </row>
    <row r="56" spans="1:1" x14ac:dyDescent="0.25">
      <c r="A56" s="212"/>
    </row>
    <row r="57" spans="1:1" x14ac:dyDescent="0.25">
      <c r="A57" s="212"/>
    </row>
    <row r="58" spans="1:1" x14ac:dyDescent="0.25">
      <c r="A58" s="212"/>
    </row>
    <row r="59" spans="1:1" x14ac:dyDescent="0.25">
      <c r="A59" s="212"/>
    </row>
    <row r="60" spans="1:1" x14ac:dyDescent="0.25">
      <c r="A60" s="212"/>
    </row>
    <row r="61" spans="1:1" x14ac:dyDescent="0.25">
      <c r="A61" s="212"/>
    </row>
    <row r="62" spans="1:1" x14ac:dyDescent="0.25">
      <c r="A62" s="212"/>
    </row>
    <row r="63" spans="1:1" x14ac:dyDescent="0.25">
      <c r="A63" s="212"/>
    </row>
    <row r="64" spans="1:1" x14ac:dyDescent="0.25">
      <c r="A64" s="212"/>
    </row>
    <row r="65" spans="1:1" x14ac:dyDescent="0.25">
      <c r="A65" s="212"/>
    </row>
    <row r="66" spans="1:1" x14ac:dyDescent="0.25">
      <c r="A66" s="212"/>
    </row>
    <row r="67" spans="1:1" x14ac:dyDescent="0.25">
      <c r="A67" s="212"/>
    </row>
    <row r="68" spans="1:1" x14ac:dyDescent="0.25">
      <c r="A68" s="212"/>
    </row>
    <row r="69" spans="1:1" x14ac:dyDescent="0.25">
      <c r="A69" s="212"/>
    </row>
    <row r="70" spans="1:1" x14ac:dyDescent="0.25">
      <c r="A70" s="212"/>
    </row>
    <row r="71" spans="1:1" x14ac:dyDescent="0.25">
      <c r="A71" s="212"/>
    </row>
    <row r="72" spans="1:1" x14ac:dyDescent="0.25">
      <c r="A72" s="212"/>
    </row>
    <row r="73" spans="1:1" x14ac:dyDescent="0.25">
      <c r="A73" s="212"/>
    </row>
    <row r="74" spans="1:1" x14ac:dyDescent="0.25">
      <c r="A74" s="212"/>
    </row>
    <row r="75" spans="1:1" x14ac:dyDescent="0.25">
      <c r="A75" s="212"/>
    </row>
    <row r="76" spans="1:1" x14ac:dyDescent="0.25">
      <c r="A76" s="212"/>
    </row>
    <row r="77" spans="1:1" x14ac:dyDescent="0.25">
      <c r="A77" s="212"/>
    </row>
    <row r="78" spans="1:1" x14ac:dyDescent="0.25">
      <c r="A78" s="212"/>
    </row>
    <row r="79" spans="1:1" x14ac:dyDescent="0.25">
      <c r="A79" s="212"/>
    </row>
    <row r="80" spans="1:1" x14ac:dyDescent="0.25">
      <c r="A80" s="212"/>
    </row>
    <row r="81" spans="1:1" x14ac:dyDescent="0.25">
      <c r="A81" s="212"/>
    </row>
    <row r="82" spans="1:1" x14ac:dyDescent="0.25">
      <c r="A82" s="212"/>
    </row>
    <row r="83" spans="1:1" x14ac:dyDescent="0.25">
      <c r="A83" s="212"/>
    </row>
    <row r="84" spans="1:1" x14ac:dyDescent="0.25">
      <c r="A84" s="212"/>
    </row>
    <row r="85" spans="1:1" x14ac:dyDescent="0.25">
      <c r="A85" s="212"/>
    </row>
    <row r="86" spans="1:1" x14ac:dyDescent="0.25">
      <c r="A86" s="212"/>
    </row>
    <row r="87" spans="1:1" x14ac:dyDescent="0.25">
      <c r="A87" s="212"/>
    </row>
    <row r="88" spans="1:1" x14ac:dyDescent="0.25">
      <c r="A88" s="212"/>
    </row>
    <row r="89" spans="1:1" x14ac:dyDescent="0.25">
      <c r="A89" s="212"/>
    </row>
    <row r="90" spans="1:1" x14ac:dyDescent="0.25">
      <c r="A90" s="212"/>
    </row>
    <row r="91" spans="1:1" x14ac:dyDescent="0.25">
      <c r="A91" s="212"/>
    </row>
    <row r="92" spans="1:1" x14ac:dyDescent="0.25">
      <c r="A92" s="212"/>
    </row>
    <row r="93" spans="1:1" x14ac:dyDescent="0.25">
      <c r="A93" s="212"/>
    </row>
    <row r="94" spans="1:1" x14ac:dyDescent="0.25">
      <c r="A94" s="212"/>
    </row>
    <row r="95" spans="1:1" x14ac:dyDescent="0.25">
      <c r="A95" s="212"/>
    </row>
    <row r="96" spans="1:1" x14ac:dyDescent="0.25">
      <c r="A96" s="212"/>
    </row>
    <row r="97" spans="1:1" x14ac:dyDescent="0.25">
      <c r="A97" s="212"/>
    </row>
    <row r="98" spans="1:1" x14ac:dyDescent="0.25">
      <c r="A98" s="212"/>
    </row>
    <row r="99" spans="1:1" x14ac:dyDescent="0.25">
      <c r="A99" s="212"/>
    </row>
    <row r="100" spans="1:1" x14ac:dyDescent="0.25">
      <c r="A100" s="212"/>
    </row>
    <row r="101" spans="1:1" x14ac:dyDescent="0.25">
      <c r="A101" s="212"/>
    </row>
    <row r="102" spans="1:1" x14ac:dyDescent="0.25">
      <c r="A102" s="212"/>
    </row>
    <row r="103" spans="1:1" x14ac:dyDescent="0.25">
      <c r="A103" s="212"/>
    </row>
    <row r="104" spans="1:1" x14ac:dyDescent="0.25">
      <c r="A104" s="212"/>
    </row>
    <row r="105" spans="1:1" x14ac:dyDescent="0.25">
      <c r="A105" s="212"/>
    </row>
    <row r="106" spans="1:1" x14ac:dyDescent="0.25">
      <c r="A106" s="212"/>
    </row>
    <row r="107" spans="1:1" x14ac:dyDescent="0.25">
      <c r="A107" s="212"/>
    </row>
    <row r="108" spans="1:1" x14ac:dyDescent="0.25">
      <c r="A108" s="212"/>
    </row>
    <row r="109" spans="1:1" x14ac:dyDescent="0.25">
      <c r="A109" s="212"/>
    </row>
    <row r="110" spans="1:1" x14ac:dyDescent="0.25">
      <c r="A110" s="212"/>
    </row>
    <row r="111" spans="1:1" x14ac:dyDescent="0.25">
      <c r="A111" s="212"/>
    </row>
    <row r="112" spans="1:1" x14ac:dyDescent="0.25">
      <c r="A112" s="212"/>
    </row>
    <row r="113" spans="1:1" x14ac:dyDescent="0.25">
      <c r="A113" s="212"/>
    </row>
    <row r="114" spans="1:1" x14ac:dyDescent="0.25">
      <c r="A114" s="212"/>
    </row>
    <row r="115" spans="1:1" x14ac:dyDescent="0.25">
      <c r="A115" s="212"/>
    </row>
    <row r="116" spans="1:1" x14ac:dyDescent="0.25">
      <c r="A116" s="212"/>
    </row>
    <row r="117" spans="1:1" x14ac:dyDescent="0.25">
      <c r="A117" s="212"/>
    </row>
    <row r="118" spans="1:1" x14ac:dyDescent="0.25">
      <c r="A118" s="212"/>
    </row>
    <row r="119" spans="1:1" x14ac:dyDescent="0.25">
      <c r="A119" s="212"/>
    </row>
    <row r="120" spans="1:1" x14ac:dyDescent="0.25">
      <c r="A120" s="212"/>
    </row>
    <row r="121" spans="1:1" x14ac:dyDescent="0.25">
      <c r="A121" s="212"/>
    </row>
    <row r="122" spans="1:1" x14ac:dyDescent="0.25">
      <c r="A122" s="212"/>
    </row>
    <row r="123" spans="1:1" x14ac:dyDescent="0.25">
      <c r="A123" s="212"/>
    </row>
    <row r="124" spans="1:1" x14ac:dyDescent="0.25">
      <c r="A124" s="212"/>
    </row>
    <row r="125" spans="1:1" x14ac:dyDescent="0.25">
      <c r="A125" s="212"/>
    </row>
    <row r="126" spans="1:1" x14ac:dyDescent="0.25">
      <c r="A126" s="212"/>
    </row>
    <row r="127" spans="1:1" x14ac:dyDescent="0.25">
      <c r="A127" s="212"/>
    </row>
    <row r="128" spans="1:1" x14ac:dyDescent="0.25">
      <c r="A128" s="212"/>
    </row>
    <row r="129" spans="1:1" x14ac:dyDescent="0.25">
      <c r="A129" s="212"/>
    </row>
    <row r="130" spans="1:1" x14ac:dyDescent="0.25">
      <c r="A130" s="212"/>
    </row>
    <row r="131" spans="1:1" x14ac:dyDescent="0.25">
      <c r="A131" s="212"/>
    </row>
    <row r="132" spans="1:1" x14ac:dyDescent="0.25">
      <c r="A132" s="212"/>
    </row>
    <row r="133" spans="1:1" x14ac:dyDescent="0.25">
      <c r="A133" s="212"/>
    </row>
    <row r="134" spans="1:1" x14ac:dyDescent="0.25">
      <c r="A134" s="212"/>
    </row>
    <row r="135" spans="1:1" x14ac:dyDescent="0.25">
      <c r="A135" s="212"/>
    </row>
    <row r="136" spans="1:1" x14ac:dyDescent="0.25">
      <c r="A136" s="212"/>
    </row>
    <row r="137" spans="1:1" x14ac:dyDescent="0.25">
      <c r="A137" s="212"/>
    </row>
    <row r="138" spans="1:1" x14ac:dyDescent="0.25">
      <c r="A138" s="212"/>
    </row>
    <row r="139" spans="1:1" x14ac:dyDescent="0.25">
      <c r="A139" s="212"/>
    </row>
    <row r="140" spans="1:1" x14ac:dyDescent="0.25">
      <c r="A140" s="212"/>
    </row>
    <row r="141" spans="1:1" x14ac:dyDescent="0.25">
      <c r="A141" s="212"/>
    </row>
    <row r="142" spans="1:1" x14ac:dyDescent="0.25">
      <c r="A142" s="212"/>
    </row>
    <row r="143" spans="1:1" x14ac:dyDescent="0.25">
      <c r="A143" s="212"/>
    </row>
    <row r="144" spans="1:1" x14ac:dyDescent="0.25">
      <c r="A144" s="212"/>
    </row>
    <row r="145" spans="1:1" x14ac:dyDescent="0.25">
      <c r="A145" s="212"/>
    </row>
    <row r="146" spans="1:1" x14ac:dyDescent="0.25">
      <c r="A146" s="212"/>
    </row>
    <row r="147" spans="1:1" x14ac:dyDescent="0.25">
      <c r="A147" s="212"/>
    </row>
    <row r="148" spans="1:1" x14ac:dyDescent="0.25">
      <c r="A148" s="212"/>
    </row>
    <row r="149" spans="1:1" x14ac:dyDescent="0.25">
      <c r="A149" s="212"/>
    </row>
    <row r="150" spans="1:1" x14ac:dyDescent="0.25">
      <c r="A150" s="212"/>
    </row>
    <row r="151" spans="1:1" x14ac:dyDescent="0.25">
      <c r="A151" s="212"/>
    </row>
    <row r="152" spans="1:1" x14ac:dyDescent="0.25">
      <c r="A152" s="212"/>
    </row>
    <row r="153" spans="1:1" x14ac:dyDescent="0.25">
      <c r="A153" s="212"/>
    </row>
    <row r="154" spans="1:1" x14ac:dyDescent="0.25">
      <c r="A154" s="212"/>
    </row>
    <row r="155" spans="1:1" x14ac:dyDescent="0.25">
      <c r="A155" s="212"/>
    </row>
    <row r="156" spans="1:1" x14ac:dyDescent="0.25">
      <c r="A156" s="212"/>
    </row>
    <row r="157" spans="1:1" x14ac:dyDescent="0.25">
      <c r="A157" s="212"/>
    </row>
    <row r="158" spans="1:1" x14ac:dyDescent="0.25">
      <c r="A158" s="212"/>
    </row>
    <row r="159" spans="1:1" x14ac:dyDescent="0.25">
      <c r="A159" s="212"/>
    </row>
    <row r="160" spans="1:1" x14ac:dyDescent="0.25">
      <c r="A160" s="212"/>
    </row>
    <row r="161" spans="1:1" x14ac:dyDescent="0.25">
      <c r="A161" s="212"/>
    </row>
    <row r="162" spans="1:1" x14ac:dyDescent="0.25">
      <c r="A162" s="212"/>
    </row>
    <row r="163" spans="1:1" x14ac:dyDescent="0.25">
      <c r="A163" s="212"/>
    </row>
    <row r="164" spans="1:1" x14ac:dyDescent="0.25">
      <c r="A164" s="212"/>
    </row>
    <row r="165" spans="1:1" x14ac:dyDescent="0.25">
      <c r="A165" s="212"/>
    </row>
    <row r="166" spans="1:1" x14ac:dyDescent="0.25">
      <c r="A166" s="212"/>
    </row>
    <row r="167" spans="1:1" x14ac:dyDescent="0.25">
      <c r="A167" s="212"/>
    </row>
    <row r="168" spans="1:1" x14ac:dyDescent="0.25">
      <c r="A168" s="212"/>
    </row>
    <row r="169" spans="1:1" x14ac:dyDescent="0.25">
      <c r="A169" s="212"/>
    </row>
    <row r="170" spans="1:1" x14ac:dyDescent="0.25">
      <c r="A170" s="212"/>
    </row>
    <row r="171" spans="1:1" x14ac:dyDescent="0.25">
      <c r="A171" s="212"/>
    </row>
    <row r="172" spans="1:1" x14ac:dyDescent="0.25">
      <c r="A172" s="212"/>
    </row>
    <row r="173" spans="1:1" x14ac:dyDescent="0.25">
      <c r="A173" s="212"/>
    </row>
    <row r="174" spans="1:1" x14ac:dyDescent="0.25">
      <c r="A174" s="212"/>
    </row>
    <row r="175" spans="1:1" x14ac:dyDescent="0.25">
      <c r="A175" s="212"/>
    </row>
    <row r="176" spans="1:1" x14ac:dyDescent="0.25">
      <c r="A176" s="212"/>
    </row>
    <row r="177" spans="1:1" x14ac:dyDescent="0.25">
      <c r="A177" s="212"/>
    </row>
    <row r="178" spans="1:1" x14ac:dyDescent="0.25">
      <c r="A178" s="212"/>
    </row>
    <row r="179" spans="1:1" x14ac:dyDescent="0.25">
      <c r="A179" s="212"/>
    </row>
    <row r="180" spans="1:1" x14ac:dyDescent="0.25">
      <c r="A180" s="212"/>
    </row>
    <row r="181" spans="1:1" x14ac:dyDescent="0.25">
      <c r="A181" s="212"/>
    </row>
    <row r="182" spans="1:1" x14ac:dyDescent="0.25">
      <c r="A182" s="212"/>
    </row>
    <row r="183" spans="1:1" x14ac:dyDescent="0.25">
      <c r="A183" s="212"/>
    </row>
    <row r="184" spans="1:1" x14ac:dyDescent="0.25">
      <c r="A184" s="212"/>
    </row>
    <row r="185" spans="1:1" x14ac:dyDescent="0.25">
      <c r="A185" s="212"/>
    </row>
    <row r="186" spans="1:1" x14ac:dyDescent="0.25">
      <c r="A186" s="212"/>
    </row>
    <row r="187" spans="1:1" x14ac:dyDescent="0.25">
      <c r="A187" s="212"/>
    </row>
    <row r="188" spans="1:1" x14ac:dyDescent="0.25">
      <c r="A188" s="212"/>
    </row>
    <row r="189" spans="1:1" x14ac:dyDescent="0.25">
      <c r="A189" s="212"/>
    </row>
    <row r="190" spans="1:1" x14ac:dyDescent="0.25">
      <c r="A190" s="212"/>
    </row>
    <row r="191" spans="1:1" x14ac:dyDescent="0.25">
      <c r="A191" s="212"/>
    </row>
    <row r="192" spans="1:1" x14ac:dyDescent="0.25">
      <c r="A192" s="212"/>
    </row>
    <row r="193" spans="1:1" x14ac:dyDescent="0.25">
      <c r="A193" s="212"/>
    </row>
    <row r="194" spans="1:1" x14ac:dyDescent="0.25">
      <c r="A194" s="212"/>
    </row>
    <row r="195" spans="1:1" x14ac:dyDescent="0.25">
      <c r="A195" s="212"/>
    </row>
    <row r="196" spans="1:1" x14ac:dyDescent="0.25">
      <c r="A196" s="212"/>
    </row>
    <row r="197" spans="1:1" x14ac:dyDescent="0.25">
      <c r="A197" s="212"/>
    </row>
    <row r="198" spans="1:1" x14ac:dyDescent="0.25">
      <c r="A198" s="212"/>
    </row>
    <row r="199" spans="1:1" x14ac:dyDescent="0.25">
      <c r="A199" s="212"/>
    </row>
    <row r="200" spans="1:1" x14ac:dyDescent="0.25">
      <c r="A200" s="212"/>
    </row>
    <row r="201" spans="1:1" x14ac:dyDescent="0.25">
      <c r="A201" s="212"/>
    </row>
    <row r="202" spans="1:1" x14ac:dyDescent="0.25">
      <c r="A202" s="212"/>
    </row>
    <row r="203" spans="1:1" x14ac:dyDescent="0.25">
      <c r="A203" s="212"/>
    </row>
    <row r="204" spans="1:1" x14ac:dyDescent="0.25">
      <c r="A204" s="212"/>
    </row>
    <row r="205" spans="1:1" x14ac:dyDescent="0.25">
      <c r="A205" s="212"/>
    </row>
    <row r="206" spans="1:1" x14ac:dyDescent="0.25">
      <c r="A206" s="212"/>
    </row>
    <row r="207" spans="1:1" x14ac:dyDescent="0.25">
      <c r="A207" s="212"/>
    </row>
    <row r="208" spans="1:1" x14ac:dyDescent="0.25">
      <c r="A208" s="212"/>
    </row>
    <row r="209" spans="1:1" x14ac:dyDescent="0.25">
      <c r="A209" s="212"/>
    </row>
    <row r="210" spans="1:1" x14ac:dyDescent="0.25">
      <c r="A210" s="212"/>
    </row>
    <row r="211" spans="1:1" x14ac:dyDescent="0.25">
      <c r="A211" s="212"/>
    </row>
    <row r="212" spans="1:1" x14ac:dyDescent="0.25">
      <c r="A212" s="212"/>
    </row>
    <row r="213" spans="1:1" x14ac:dyDescent="0.25">
      <c r="A213" s="212"/>
    </row>
    <row r="214" spans="1:1" x14ac:dyDescent="0.25">
      <c r="A214" s="212"/>
    </row>
    <row r="215" spans="1:1" x14ac:dyDescent="0.25">
      <c r="A215" s="212"/>
    </row>
    <row r="216" spans="1:1" x14ac:dyDescent="0.25">
      <c r="A216" s="212"/>
    </row>
    <row r="217" spans="1:1" x14ac:dyDescent="0.25">
      <c r="A217" s="212"/>
    </row>
    <row r="218" spans="1:1" x14ac:dyDescent="0.25">
      <c r="A218" s="212"/>
    </row>
    <row r="219" spans="1:1" x14ac:dyDescent="0.25">
      <c r="A219" s="212"/>
    </row>
    <row r="220" spans="1:1" x14ac:dyDescent="0.25">
      <c r="A220" s="212"/>
    </row>
    <row r="221" spans="1:1" x14ac:dyDescent="0.25">
      <c r="A221" s="212"/>
    </row>
    <row r="222" spans="1:1" x14ac:dyDescent="0.25">
      <c r="A222" s="212"/>
    </row>
    <row r="223" spans="1:1" x14ac:dyDescent="0.25">
      <c r="A223" s="212"/>
    </row>
    <row r="224" spans="1:1" x14ac:dyDescent="0.25">
      <c r="A224" s="212"/>
    </row>
    <row r="225" spans="1:1" x14ac:dyDescent="0.25">
      <c r="A225" s="212"/>
    </row>
    <row r="226" spans="1:1" x14ac:dyDescent="0.25">
      <c r="A226" s="212"/>
    </row>
    <row r="227" spans="1:1" x14ac:dyDescent="0.25">
      <c r="A227" s="212"/>
    </row>
    <row r="228" spans="1:1" x14ac:dyDescent="0.25">
      <c r="A228" s="212"/>
    </row>
    <row r="229" spans="1:1" x14ac:dyDescent="0.25">
      <c r="A229" s="212"/>
    </row>
    <row r="230" spans="1:1" x14ac:dyDescent="0.25">
      <c r="A230" s="212"/>
    </row>
    <row r="231" spans="1:1" x14ac:dyDescent="0.25">
      <c r="A231" s="212"/>
    </row>
    <row r="232" spans="1:1" x14ac:dyDescent="0.25">
      <c r="A232" s="212"/>
    </row>
    <row r="233" spans="1:1" x14ac:dyDescent="0.25">
      <c r="A233" s="212"/>
    </row>
    <row r="234" spans="1:1" x14ac:dyDescent="0.25">
      <c r="A234" s="212"/>
    </row>
    <row r="235" spans="1:1" x14ac:dyDescent="0.25">
      <c r="A235" s="212"/>
    </row>
    <row r="236" spans="1:1" x14ac:dyDescent="0.25">
      <c r="A236" s="212"/>
    </row>
    <row r="237" spans="1:1" x14ac:dyDescent="0.25">
      <c r="A237" s="212"/>
    </row>
    <row r="238" spans="1:1" x14ac:dyDescent="0.25">
      <c r="A238" s="212"/>
    </row>
    <row r="239" spans="1:1" x14ac:dyDescent="0.25">
      <c r="A239" s="212"/>
    </row>
    <row r="240" spans="1:1" x14ac:dyDescent="0.25">
      <c r="A240" s="212"/>
    </row>
    <row r="241" spans="1:1" x14ac:dyDescent="0.25">
      <c r="A241" s="212"/>
    </row>
    <row r="242" spans="1:1" x14ac:dyDescent="0.25">
      <c r="A242" s="212"/>
    </row>
    <row r="243" spans="1:1" x14ac:dyDescent="0.25">
      <c r="A243" s="212"/>
    </row>
    <row r="244" spans="1:1" x14ac:dyDescent="0.25">
      <c r="A244" s="212"/>
    </row>
    <row r="245" spans="1:1" x14ac:dyDescent="0.25">
      <c r="A245" s="212"/>
    </row>
    <row r="246" spans="1:1" x14ac:dyDescent="0.25">
      <c r="A246" s="212"/>
    </row>
    <row r="247" spans="1:1" x14ac:dyDescent="0.25">
      <c r="A247" s="212"/>
    </row>
    <row r="248" spans="1:1" x14ac:dyDescent="0.25">
      <c r="A248" s="212"/>
    </row>
    <row r="249" spans="1:1" x14ac:dyDescent="0.25">
      <c r="A249" s="212"/>
    </row>
    <row r="250" spans="1:1" x14ac:dyDescent="0.25">
      <c r="A250" s="212"/>
    </row>
    <row r="251" spans="1:1" x14ac:dyDescent="0.25">
      <c r="A251" s="212"/>
    </row>
    <row r="252" spans="1:1" x14ac:dyDescent="0.25">
      <c r="A252" s="212"/>
    </row>
    <row r="253" spans="1:1" x14ac:dyDescent="0.25">
      <c r="A253" s="212"/>
    </row>
    <row r="254" spans="1:1" x14ac:dyDescent="0.25">
      <c r="A254" s="212"/>
    </row>
    <row r="255" spans="1:1" x14ac:dyDescent="0.25">
      <c r="A255" s="212"/>
    </row>
    <row r="256" spans="1:1" x14ac:dyDescent="0.25">
      <c r="A256" s="212"/>
    </row>
    <row r="257" spans="1:1" x14ac:dyDescent="0.25">
      <c r="A257" s="212"/>
    </row>
    <row r="258" spans="1:1" x14ac:dyDescent="0.25">
      <c r="A258" s="212"/>
    </row>
    <row r="259" spans="1:1" x14ac:dyDescent="0.25">
      <c r="A259" s="212"/>
    </row>
    <row r="260" spans="1:1" x14ac:dyDescent="0.25">
      <c r="A260" s="212"/>
    </row>
    <row r="261" spans="1:1" x14ac:dyDescent="0.25">
      <c r="A261" s="212"/>
    </row>
    <row r="262" spans="1:1" x14ac:dyDescent="0.25">
      <c r="A262" s="212"/>
    </row>
    <row r="263" spans="1:1" x14ac:dyDescent="0.25">
      <c r="A263" s="212"/>
    </row>
    <row r="264" spans="1:1" x14ac:dyDescent="0.25">
      <c r="A264" s="212"/>
    </row>
    <row r="265" spans="1:1" x14ac:dyDescent="0.25">
      <c r="A265" s="212"/>
    </row>
    <row r="266" spans="1:1" x14ac:dyDescent="0.25">
      <c r="A266" s="212"/>
    </row>
    <row r="267" spans="1:1" x14ac:dyDescent="0.25">
      <c r="A267" s="212"/>
    </row>
    <row r="268" spans="1:1" x14ac:dyDescent="0.25">
      <c r="A268" s="212"/>
    </row>
    <row r="269" spans="1:1" x14ac:dyDescent="0.25">
      <c r="A269" s="212"/>
    </row>
    <row r="270" spans="1:1" x14ac:dyDescent="0.25">
      <c r="A270" s="212"/>
    </row>
    <row r="271" spans="1:1" x14ac:dyDescent="0.25">
      <c r="A271" s="212"/>
    </row>
    <row r="272" spans="1:1" x14ac:dyDescent="0.25">
      <c r="A272" s="212"/>
    </row>
    <row r="273" spans="1:1" x14ac:dyDescent="0.25">
      <c r="A273" s="212"/>
    </row>
    <row r="274" spans="1:1" x14ac:dyDescent="0.25">
      <c r="A274" s="212"/>
    </row>
    <row r="275" spans="1:1" x14ac:dyDescent="0.25">
      <c r="A275" s="212"/>
    </row>
    <row r="276" spans="1:1" x14ac:dyDescent="0.25">
      <c r="A276" s="212"/>
    </row>
    <row r="277" spans="1:1" x14ac:dyDescent="0.25">
      <c r="A277" s="212"/>
    </row>
    <row r="278" spans="1:1" x14ac:dyDescent="0.25">
      <c r="A278" s="212"/>
    </row>
    <row r="279" spans="1:1" x14ac:dyDescent="0.25">
      <c r="A279" s="212"/>
    </row>
    <row r="280" spans="1:1" x14ac:dyDescent="0.25">
      <c r="A280" s="212"/>
    </row>
    <row r="281" spans="1:1" x14ac:dyDescent="0.25">
      <c r="A281" s="212"/>
    </row>
    <row r="282" spans="1:1" x14ac:dyDescent="0.25">
      <c r="A282" s="212"/>
    </row>
    <row r="283" spans="1:1" x14ac:dyDescent="0.25">
      <c r="A283" s="212"/>
    </row>
    <row r="284" spans="1:1" x14ac:dyDescent="0.25">
      <c r="A284" s="212"/>
    </row>
    <row r="285" spans="1:1" x14ac:dyDescent="0.25">
      <c r="A285" s="212"/>
    </row>
    <row r="286" spans="1:1" x14ac:dyDescent="0.25">
      <c r="A286" s="212"/>
    </row>
    <row r="287" spans="1:1" x14ac:dyDescent="0.25">
      <c r="A287" s="212"/>
    </row>
    <row r="288" spans="1:1" x14ac:dyDescent="0.25">
      <c r="A288" s="212"/>
    </row>
    <row r="289" spans="1:1" x14ac:dyDescent="0.25">
      <c r="A289" s="212"/>
    </row>
    <row r="290" spans="1:1" x14ac:dyDescent="0.25">
      <c r="A290" s="212"/>
    </row>
    <row r="291" spans="1:1" x14ac:dyDescent="0.25">
      <c r="A291" s="212"/>
    </row>
    <row r="292" spans="1:1" x14ac:dyDescent="0.25">
      <c r="A292" s="212"/>
    </row>
    <row r="293" spans="1:1" x14ac:dyDescent="0.25">
      <c r="A293" s="212"/>
    </row>
    <row r="294" spans="1:1" x14ac:dyDescent="0.25">
      <c r="A294" s="212"/>
    </row>
    <row r="295" spans="1:1" x14ac:dyDescent="0.25">
      <c r="A295" s="212"/>
    </row>
    <row r="296" spans="1:1" x14ac:dyDescent="0.25">
      <c r="A296" s="212"/>
    </row>
    <row r="297" spans="1:1" x14ac:dyDescent="0.25">
      <c r="A297" s="212"/>
    </row>
    <row r="298" spans="1:1" x14ac:dyDescent="0.25">
      <c r="A298" s="212"/>
    </row>
    <row r="299" spans="1:1" x14ac:dyDescent="0.25">
      <c r="A299" s="212"/>
    </row>
    <row r="300" spans="1:1" x14ac:dyDescent="0.25">
      <c r="A300" s="212"/>
    </row>
    <row r="301" spans="1:1" x14ac:dyDescent="0.25">
      <c r="A301" s="212"/>
    </row>
    <row r="302" spans="1:1" x14ac:dyDescent="0.25">
      <c r="A302" s="212"/>
    </row>
    <row r="303" spans="1:1" x14ac:dyDescent="0.25">
      <c r="A303" s="212"/>
    </row>
    <row r="304" spans="1:1" x14ac:dyDescent="0.25">
      <c r="A304" s="212"/>
    </row>
    <row r="305" spans="1:1" x14ac:dyDescent="0.25">
      <c r="A305" s="212"/>
    </row>
    <row r="306" spans="1:1" x14ac:dyDescent="0.25">
      <c r="A306" s="212"/>
    </row>
    <row r="307" spans="1:1" x14ac:dyDescent="0.25">
      <c r="A307" s="212"/>
    </row>
    <row r="308" spans="1:1" x14ac:dyDescent="0.25">
      <c r="A308" s="212"/>
    </row>
    <row r="309" spans="1:1" x14ac:dyDescent="0.25">
      <c r="A309" s="212"/>
    </row>
    <row r="310" spans="1:1" x14ac:dyDescent="0.25">
      <c r="A310" s="212"/>
    </row>
    <row r="311" spans="1:1" x14ac:dyDescent="0.25">
      <c r="A311" s="212"/>
    </row>
    <row r="312" spans="1:1" x14ac:dyDescent="0.25">
      <c r="A312" s="212"/>
    </row>
    <row r="313" spans="1:1" x14ac:dyDescent="0.25">
      <c r="A313" s="212"/>
    </row>
    <row r="314" spans="1:1" x14ac:dyDescent="0.25">
      <c r="A314" s="212"/>
    </row>
    <row r="315" spans="1:1" x14ac:dyDescent="0.25">
      <c r="A315" s="212"/>
    </row>
    <row r="316" spans="1:1" x14ac:dyDescent="0.25">
      <c r="A316" s="212"/>
    </row>
    <row r="317" spans="1:1" x14ac:dyDescent="0.25">
      <c r="A317" s="212"/>
    </row>
    <row r="318" spans="1:1" x14ac:dyDescent="0.25">
      <c r="A318" s="212"/>
    </row>
    <row r="319" spans="1:1" x14ac:dyDescent="0.25">
      <c r="A319" s="212"/>
    </row>
    <row r="320" spans="1:1" x14ac:dyDescent="0.25">
      <c r="A320" s="212"/>
    </row>
    <row r="321" spans="1:1" x14ac:dyDescent="0.25">
      <c r="A321" s="212"/>
    </row>
    <row r="322" spans="1:1" x14ac:dyDescent="0.25">
      <c r="A322" s="212"/>
    </row>
    <row r="323" spans="1:1" x14ac:dyDescent="0.25">
      <c r="A323" s="212"/>
    </row>
    <row r="324" spans="1:1" x14ac:dyDescent="0.25">
      <c r="A324" s="212"/>
    </row>
    <row r="325" spans="1:1" x14ac:dyDescent="0.25">
      <c r="A325" s="212"/>
    </row>
    <row r="326" spans="1:1" x14ac:dyDescent="0.25">
      <c r="A326" s="212"/>
    </row>
    <row r="327" spans="1:1" x14ac:dyDescent="0.25">
      <c r="A327" s="212"/>
    </row>
    <row r="328" spans="1:1" x14ac:dyDescent="0.25">
      <c r="A328" s="212"/>
    </row>
    <row r="329" spans="1:1" x14ac:dyDescent="0.25">
      <c r="A329" s="212"/>
    </row>
    <row r="330" spans="1:1" x14ac:dyDescent="0.25">
      <c r="A330" s="212"/>
    </row>
    <row r="331" spans="1:1" x14ac:dyDescent="0.25">
      <c r="A331" s="212"/>
    </row>
    <row r="332" spans="1:1" x14ac:dyDescent="0.25">
      <c r="A332" s="212"/>
    </row>
    <row r="333" spans="1:1" x14ac:dyDescent="0.25">
      <c r="A333" s="212"/>
    </row>
    <row r="334" spans="1:1" x14ac:dyDescent="0.25">
      <c r="A334" s="212"/>
    </row>
    <row r="335" spans="1:1" x14ac:dyDescent="0.25">
      <c r="A335" s="212"/>
    </row>
    <row r="336" spans="1:1" x14ac:dyDescent="0.25">
      <c r="A336" s="212"/>
    </row>
    <row r="337" spans="1:1" x14ac:dyDescent="0.25">
      <c r="A337" s="212"/>
    </row>
    <row r="338" spans="1:1" x14ac:dyDescent="0.25">
      <c r="A338" s="212"/>
    </row>
    <row r="339" spans="1:1" x14ac:dyDescent="0.25">
      <c r="A339" s="212"/>
    </row>
    <row r="340" spans="1:1" x14ac:dyDescent="0.25">
      <c r="A340" s="212"/>
    </row>
    <row r="341" spans="1:1" x14ac:dyDescent="0.25">
      <c r="A341" s="212"/>
    </row>
    <row r="342" spans="1:1" x14ac:dyDescent="0.25">
      <c r="A342" s="212"/>
    </row>
    <row r="343" spans="1:1" x14ac:dyDescent="0.25">
      <c r="A343" s="212"/>
    </row>
    <row r="344" spans="1:1" x14ac:dyDescent="0.25">
      <c r="A344" s="212"/>
    </row>
    <row r="345" spans="1:1" x14ac:dyDescent="0.25">
      <c r="A345" s="212"/>
    </row>
    <row r="346" spans="1:1" x14ac:dyDescent="0.25">
      <c r="A346" s="212"/>
    </row>
    <row r="347" spans="1:1" x14ac:dyDescent="0.25">
      <c r="A347" s="212"/>
    </row>
    <row r="348" spans="1:1" x14ac:dyDescent="0.25">
      <c r="A348" s="212"/>
    </row>
    <row r="349" spans="1:1" x14ac:dyDescent="0.25">
      <c r="A349" s="212"/>
    </row>
    <row r="350" spans="1:1" x14ac:dyDescent="0.25">
      <c r="A350" s="212"/>
    </row>
    <row r="351" spans="1:1" x14ac:dyDescent="0.25">
      <c r="A351" s="212"/>
    </row>
    <row r="352" spans="1:1" x14ac:dyDescent="0.25">
      <c r="A352" s="212"/>
    </row>
    <row r="353" spans="1:1" x14ac:dyDescent="0.25">
      <c r="A353" s="212"/>
    </row>
    <row r="354" spans="1:1" x14ac:dyDescent="0.25">
      <c r="A354" s="212"/>
    </row>
    <row r="355" spans="1:1" x14ac:dyDescent="0.25">
      <c r="A355" s="212"/>
    </row>
    <row r="356" spans="1:1" x14ac:dyDescent="0.25">
      <c r="A356" s="212"/>
    </row>
    <row r="357" spans="1:1" x14ac:dyDescent="0.25">
      <c r="A357" s="212"/>
    </row>
    <row r="358" spans="1:1" x14ac:dyDescent="0.25">
      <c r="A358" s="212"/>
    </row>
    <row r="359" spans="1:1" x14ac:dyDescent="0.25">
      <c r="A359" s="212"/>
    </row>
    <row r="360" spans="1:1" x14ac:dyDescent="0.25">
      <c r="A360" s="212"/>
    </row>
    <row r="361" spans="1:1" x14ac:dyDescent="0.25">
      <c r="A361" s="212"/>
    </row>
    <row r="362" spans="1:1" x14ac:dyDescent="0.25">
      <c r="A362" s="212"/>
    </row>
    <row r="363" spans="1:1" x14ac:dyDescent="0.25">
      <c r="A363" s="212"/>
    </row>
    <row r="364" spans="1:1" x14ac:dyDescent="0.25">
      <c r="A364" s="212"/>
    </row>
    <row r="365" spans="1:1" x14ac:dyDescent="0.25">
      <c r="A365" s="212"/>
    </row>
    <row r="366" spans="1:1" x14ac:dyDescent="0.25">
      <c r="A366" s="212"/>
    </row>
    <row r="367" spans="1:1" x14ac:dyDescent="0.25">
      <c r="A367" s="212"/>
    </row>
    <row r="368" spans="1:1" x14ac:dyDescent="0.25">
      <c r="A368" s="212"/>
    </row>
    <row r="369" spans="1:1" x14ac:dyDescent="0.25">
      <c r="A369" s="212"/>
    </row>
    <row r="370" spans="1:1" x14ac:dyDescent="0.25">
      <c r="A370" s="212"/>
    </row>
    <row r="371" spans="1:1" x14ac:dyDescent="0.25">
      <c r="A371" s="212"/>
    </row>
    <row r="372" spans="1:1" x14ac:dyDescent="0.25">
      <c r="A372" s="212"/>
    </row>
    <row r="373" spans="1:1" x14ac:dyDescent="0.25">
      <c r="A373" s="212"/>
    </row>
    <row r="374" spans="1:1" x14ac:dyDescent="0.25">
      <c r="A374" s="212"/>
    </row>
    <row r="375" spans="1:1" x14ac:dyDescent="0.25">
      <c r="A375" s="212"/>
    </row>
    <row r="376" spans="1:1" x14ac:dyDescent="0.25">
      <c r="A376" s="212"/>
    </row>
    <row r="377" spans="1:1" x14ac:dyDescent="0.25">
      <c r="A377" s="212"/>
    </row>
    <row r="378" spans="1:1" x14ac:dyDescent="0.25">
      <c r="A378" s="212"/>
    </row>
    <row r="379" spans="1:1" x14ac:dyDescent="0.25">
      <c r="A379" s="212"/>
    </row>
    <row r="380" spans="1:1" x14ac:dyDescent="0.25">
      <c r="A380" s="212"/>
    </row>
    <row r="381" spans="1:1" x14ac:dyDescent="0.25">
      <c r="A381" s="212"/>
    </row>
    <row r="382" spans="1:1" x14ac:dyDescent="0.25">
      <c r="A382" s="212"/>
    </row>
    <row r="383" spans="1:1" x14ac:dyDescent="0.25">
      <c r="A383" s="212"/>
    </row>
    <row r="384" spans="1:1" x14ac:dyDescent="0.25">
      <c r="A384" s="212"/>
    </row>
    <row r="385" spans="1:1" x14ac:dyDescent="0.25">
      <c r="A385" s="212"/>
    </row>
    <row r="386" spans="1:1" x14ac:dyDescent="0.25">
      <c r="A386" s="212"/>
    </row>
    <row r="387" spans="1:1" x14ac:dyDescent="0.25">
      <c r="A387" s="212"/>
    </row>
    <row r="388" spans="1:1" x14ac:dyDescent="0.25">
      <c r="A388" s="212"/>
    </row>
    <row r="389" spans="1:1" x14ac:dyDescent="0.25">
      <c r="A389" s="212"/>
    </row>
    <row r="390" spans="1:1" x14ac:dyDescent="0.25">
      <c r="A390" s="212"/>
    </row>
    <row r="391" spans="1:1" x14ac:dyDescent="0.25">
      <c r="A391" s="212"/>
    </row>
    <row r="392" spans="1:1" x14ac:dyDescent="0.25">
      <c r="A392" s="212"/>
    </row>
    <row r="393" spans="1:1" x14ac:dyDescent="0.25">
      <c r="A393" s="212"/>
    </row>
    <row r="394" spans="1:1" x14ac:dyDescent="0.25">
      <c r="A394" s="212"/>
    </row>
    <row r="395" spans="1:1" x14ac:dyDescent="0.25">
      <c r="A395" s="212"/>
    </row>
    <row r="396" spans="1:1" x14ac:dyDescent="0.25">
      <c r="A396" s="212"/>
    </row>
    <row r="397" spans="1:1" x14ac:dyDescent="0.25">
      <c r="A397" s="212"/>
    </row>
    <row r="398" spans="1:1" x14ac:dyDescent="0.25">
      <c r="A398" s="212"/>
    </row>
    <row r="399" spans="1:1" x14ac:dyDescent="0.25">
      <c r="A399" s="212"/>
    </row>
    <row r="400" spans="1:1" x14ac:dyDescent="0.25">
      <c r="A400" s="212"/>
    </row>
    <row r="401" spans="1:1" x14ac:dyDescent="0.25">
      <c r="A401" s="212"/>
    </row>
    <row r="402" spans="1:1" x14ac:dyDescent="0.25">
      <c r="A402" s="212"/>
    </row>
    <row r="403" spans="1:1" x14ac:dyDescent="0.25">
      <c r="A403" s="212"/>
    </row>
    <row r="404" spans="1:1" x14ac:dyDescent="0.25">
      <c r="A404" s="212"/>
    </row>
    <row r="405" spans="1:1" x14ac:dyDescent="0.25">
      <c r="A405" s="212"/>
    </row>
    <row r="406" spans="1:1" x14ac:dyDescent="0.25">
      <c r="A406" s="212"/>
    </row>
    <row r="407" spans="1:1" x14ac:dyDescent="0.25">
      <c r="A407" s="212"/>
    </row>
    <row r="408" spans="1:1" x14ac:dyDescent="0.25">
      <c r="A408" s="212"/>
    </row>
    <row r="409" spans="1:1" x14ac:dyDescent="0.25">
      <c r="A409" s="212"/>
    </row>
    <row r="410" spans="1:1" x14ac:dyDescent="0.25">
      <c r="A410" s="212"/>
    </row>
    <row r="411" spans="1:1" x14ac:dyDescent="0.25">
      <c r="A411" s="212"/>
    </row>
    <row r="412" spans="1:1" x14ac:dyDescent="0.25">
      <c r="A412" s="212"/>
    </row>
    <row r="413" spans="1:1" x14ac:dyDescent="0.25">
      <c r="A413" s="212"/>
    </row>
    <row r="414" spans="1:1" x14ac:dyDescent="0.25">
      <c r="A414" s="212"/>
    </row>
    <row r="415" spans="1:1" x14ac:dyDescent="0.25">
      <c r="A415" s="212"/>
    </row>
    <row r="416" spans="1:1" x14ac:dyDescent="0.25">
      <c r="A416" s="212"/>
    </row>
    <row r="417" spans="1:1" x14ac:dyDescent="0.25">
      <c r="A417" s="212"/>
    </row>
    <row r="418" spans="1:1" x14ac:dyDescent="0.25">
      <c r="A418" s="212"/>
    </row>
    <row r="419" spans="1:1" x14ac:dyDescent="0.25">
      <c r="A419" s="212"/>
    </row>
    <row r="420" spans="1:1" x14ac:dyDescent="0.25">
      <c r="A420" s="212"/>
    </row>
    <row r="421" spans="1:1" x14ac:dyDescent="0.25">
      <c r="A421" s="212"/>
    </row>
    <row r="422" spans="1:1" x14ac:dyDescent="0.25">
      <c r="A422" s="212"/>
    </row>
    <row r="423" spans="1:1" x14ac:dyDescent="0.25">
      <c r="A423" s="212"/>
    </row>
    <row r="424" spans="1:1" x14ac:dyDescent="0.25">
      <c r="A424" s="212"/>
    </row>
    <row r="425" spans="1:1" x14ac:dyDescent="0.25">
      <c r="A425" s="212"/>
    </row>
    <row r="426" spans="1:1" x14ac:dyDescent="0.25">
      <c r="A426" s="212"/>
    </row>
    <row r="427" spans="1:1" x14ac:dyDescent="0.25">
      <c r="A427" s="212"/>
    </row>
    <row r="428" spans="1:1" x14ac:dyDescent="0.25">
      <c r="A428" s="212"/>
    </row>
    <row r="429" spans="1:1" x14ac:dyDescent="0.25">
      <c r="A429" s="212"/>
    </row>
    <row r="430" spans="1:1" x14ac:dyDescent="0.25">
      <c r="A430" s="212"/>
    </row>
    <row r="431" spans="1:1" x14ac:dyDescent="0.25">
      <c r="A431" s="212"/>
    </row>
    <row r="432" spans="1:1" x14ac:dyDescent="0.25">
      <c r="A432" s="212"/>
    </row>
    <row r="433" spans="1:1" x14ac:dyDescent="0.25">
      <c r="A433" s="212"/>
    </row>
    <row r="434" spans="1:1" x14ac:dyDescent="0.25">
      <c r="A434" s="212"/>
    </row>
    <row r="435" spans="1:1" x14ac:dyDescent="0.25">
      <c r="A435" s="212"/>
    </row>
    <row r="436" spans="1:1" x14ac:dyDescent="0.25">
      <c r="A436" s="212"/>
    </row>
    <row r="437" spans="1:1" x14ac:dyDescent="0.25">
      <c r="A437" s="212"/>
    </row>
    <row r="438" spans="1:1" x14ac:dyDescent="0.25">
      <c r="A438" s="212"/>
    </row>
    <row r="439" spans="1:1" x14ac:dyDescent="0.25">
      <c r="A439" s="212"/>
    </row>
    <row r="440" spans="1:1" x14ac:dyDescent="0.25">
      <c r="A440" s="212"/>
    </row>
    <row r="441" spans="1:1" x14ac:dyDescent="0.25">
      <c r="A441" s="212"/>
    </row>
    <row r="442" spans="1:1" x14ac:dyDescent="0.25">
      <c r="A442" s="212"/>
    </row>
    <row r="443" spans="1:1" x14ac:dyDescent="0.25">
      <c r="A443" s="212"/>
    </row>
    <row r="444" spans="1:1" x14ac:dyDescent="0.25">
      <c r="A444" s="212"/>
    </row>
    <row r="445" spans="1:1" x14ac:dyDescent="0.25">
      <c r="A445" s="212"/>
    </row>
    <row r="446" spans="1:1" x14ac:dyDescent="0.25">
      <c r="A446" s="212"/>
    </row>
    <row r="447" spans="1:1" x14ac:dyDescent="0.25">
      <c r="A447" s="212"/>
    </row>
    <row r="448" spans="1:1" x14ac:dyDescent="0.25">
      <c r="A448" s="212"/>
    </row>
    <row r="449" spans="1:1" x14ac:dyDescent="0.25">
      <c r="A449" s="212"/>
    </row>
    <row r="450" spans="1:1" x14ac:dyDescent="0.25">
      <c r="A450" s="212"/>
    </row>
    <row r="451" spans="1:1" x14ac:dyDescent="0.25">
      <c r="A451" s="212"/>
    </row>
    <row r="452" spans="1:1" x14ac:dyDescent="0.25">
      <c r="A452" s="212"/>
    </row>
    <row r="453" spans="1:1" x14ac:dyDescent="0.25">
      <c r="A453" s="212"/>
    </row>
    <row r="454" spans="1:1" x14ac:dyDescent="0.25">
      <c r="A454" s="212"/>
    </row>
    <row r="455" spans="1:1" x14ac:dyDescent="0.25">
      <c r="A455" s="212"/>
    </row>
    <row r="456" spans="1:1" x14ac:dyDescent="0.25">
      <c r="A456" s="212"/>
    </row>
    <row r="457" spans="1:1" x14ac:dyDescent="0.25">
      <c r="A457" s="212"/>
    </row>
    <row r="458" spans="1:1" x14ac:dyDescent="0.25">
      <c r="A458" s="212"/>
    </row>
    <row r="459" spans="1:1" x14ac:dyDescent="0.25">
      <c r="A459" s="212"/>
    </row>
    <row r="460" spans="1:1" x14ac:dyDescent="0.25">
      <c r="A460" s="212"/>
    </row>
    <row r="461" spans="1:1" x14ac:dyDescent="0.25">
      <c r="A461" s="212"/>
    </row>
    <row r="462" spans="1:1" x14ac:dyDescent="0.25">
      <c r="A462" s="212"/>
    </row>
    <row r="463" spans="1:1" x14ac:dyDescent="0.25">
      <c r="A463" s="212"/>
    </row>
    <row r="464" spans="1:1" x14ac:dyDescent="0.25">
      <c r="A464" s="212"/>
    </row>
    <row r="465" spans="1:1" x14ac:dyDescent="0.25">
      <c r="A465" s="212"/>
    </row>
    <row r="466" spans="1:1" x14ac:dyDescent="0.25">
      <c r="A466" s="212"/>
    </row>
    <row r="467" spans="1:1" x14ac:dyDescent="0.25">
      <c r="A467" s="212"/>
    </row>
    <row r="468" spans="1:1" x14ac:dyDescent="0.25">
      <c r="A468" s="212"/>
    </row>
    <row r="469" spans="1:1" x14ac:dyDescent="0.25">
      <c r="A469" s="212"/>
    </row>
    <row r="470" spans="1:1" x14ac:dyDescent="0.25">
      <c r="A470" s="212"/>
    </row>
    <row r="471" spans="1:1" x14ac:dyDescent="0.25">
      <c r="A471" s="212"/>
    </row>
    <row r="472" spans="1:1" x14ac:dyDescent="0.25">
      <c r="A472" s="212"/>
    </row>
    <row r="473" spans="1:1" x14ac:dyDescent="0.25">
      <c r="A473" s="212"/>
    </row>
    <row r="474" spans="1:1" x14ac:dyDescent="0.25">
      <c r="A474" s="212"/>
    </row>
    <row r="475" spans="1:1" x14ac:dyDescent="0.25">
      <c r="A475" s="212"/>
    </row>
    <row r="476" spans="1:1" x14ac:dyDescent="0.25">
      <c r="A476" s="212"/>
    </row>
    <row r="477" spans="1:1" x14ac:dyDescent="0.25">
      <c r="A477" s="212"/>
    </row>
    <row r="478" spans="1:1" x14ac:dyDescent="0.25">
      <c r="A478" s="212"/>
    </row>
    <row r="479" spans="1:1" x14ac:dyDescent="0.25">
      <c r="A479" s="212"/>
    </row>
    <row r="480" spans="1:1" x14ac:dyDescent="0.25">
      <c r="A480" s="212"/>
    </row>
    <row r="481" spans="1:1" x14ac:dyDescent="0.25">
      <c r="A481" s="212"/>
    </row>
    <row r="482" spans="1:1" x14ac:dyDescent="0.25">
      <c r="A482" s="212"/>
    </row>
    <row r="483" spans="1:1" x14ac:dyDescent="0.25">
      <c r="A483" s="212"/>
    </row>
    <row r="484" spans="1:1" x14ac:dyDescent="0.25">
      <c r="A484" s="212"/>
    </row>
    <row r="485" spans="1:1" x14ac:dyDescent="0.25">
      <c r="A485" s="212"/>
    </row>
    <row r="486" spans="1:1" x14ac:dyDescent="0.25">
      <c r="A486" s="212"/>
    </row>
    <row r="487" spans="1:1" x14ac:dyDescent="0.25">
      <c r="A487" s="212"/>
    </row>
    <row r="488" spans="1:1" x14ac:dyDescent="0.25">
      <c r="A488" s="212"/>
    </row>
    <row r="489" spans="1:1" x14ac:dyDescent="0.25">
      <c r="A489" s="212"/>
    </row>
    <row r="490" spans="1:1" x14ac:dyDescent="0.25">
      <c r="A490" s="212"/>
    </row>
    <row r="491" spans="1:1" x14ac:dyDescent="0.25">
      <c r="A491" s="212"/>
    </row>
    <row r="492" spans="1:1" x14ac:dyDescent="0.25">
      <c r="A492" s="212"/>
    </row>
    <row r="493" spans="1:1" x14ac:dyDescent="0.25">
      <c r="A493" s="212"/>
    </row>
    <row r="494" spans="1:1" x14ac:dyDescent="0.25">
      <c r="A494" s="212"/>
    </row>
    <row r="495" spans="1:1" x14ac:dyDescent="0.25">
      <c r="A495" s="212"/>
    </row>
    <row r="496" spans="1:1" x14ac:dyDescent="0.25">
      <c r="A496" s="212"/>
    </row>
    <row r="497" spans="1:1" x14ac:dyDescent="0.25">
      <c r="A497" s="212"/>
    </row>
    <row r="498" spans="1:1" x14ac:dyDescent="0.25">
      <c r="A498" s="212"/>
    </row>
    <row r="499" spans="1:1" x14ac:dyDescent="0.25">
      <c r="A499" s="212"/>
    </row>
    <row r="500" spans="1:1" x14ac:dyDescent="0.25">
      <c r="A500" s="212"/>
    </row>
    <row r="501" spans="1:1" x14ac:dyDescent="0.25">
      <c r="A501" s="212"/>
    </row>
    <row r="502" spans="1:1" x14ac:dyDescent="0.25">
      <c r="A502" s="212"/>
    </row>
    <row r="503" spans="1:1" x14ac:dyDescent="0.25">
      <c r="A503" s="212"/>
    </row>
    <row r="504" spans="1:1" x14ac:dyDescent="0.25">
      <c r="A504" s="212"/>
    </row>
    <row r="505" spans="1:1" x14ac:dyDescent="0.25">
      <c r="A505" s="212"/>
    </row>
    <row r="506" spans="1:1" x14ac:dyDescent="0.25">
      <c r="A506" s="212"/>
    </row>
    <row r="507" spans="1:1" x14ac:dyDescent="0.25">
      <c r="A507" s="212"/>
    </row>
    <row r="508" spans="1:1" x14ac:dyDescent="0.25">
      <c r="A508" s="212"/>
    </row>
    <row r="509" spans="1:1" x14ac:dyDescent="0.25">
      <c r="A509" s="212"/>
    </row>
    <row r="510" spans="1:1" x14ac:dyDescent="0.25">
      <c r="A510" s="212"/>
    </row>
    <row r="511" spans="1:1" x14ac:dyDescent="0.25">
      <c r="A511" s="212"/>
    </row>
    <row r="512" spans="1:1" x14ac:dyDescent="0.25">
      <c r="A512" s="212"/>
    </row>
    <row r="513" spans="1:1" x14ac:dyDescent="0.25">
      <c r="A513" s="212"/>
    </row>
    <row r="514" spans="1:1" x14ac:dyDescent="0.25">
      <c r="A514" s="212"/>
    </row>
    <row r="515" spans="1:1" x14ac:dyDescent="0.25">
      <c r="A515" s="212"/>
    </row>
    <row r="516" spans="1:1" x14ac:dyDescent="0.25">
      <c r="A516" s="212"/>
    </row>
    <row r="517" spans="1:1" x14ac:dyDescent="0.25">
      <c r="A517" s="212"/>
    </row>
    <row r="518" spans="1:1" x14ac:dyDescent="0.25">
      <c r="A518" s="212"/>
    </row>
    <row r="519" spans="1:1" x14ac:dyDescent="0.25">
      <c r="A519" s="212"/>
    </row>
    <row r="520" spans="1:1" x14ac:dyDescent="0.25">
      <c r="A520" s="212"/>
    </row>
    <row r="521" spans="1:1" x14ac:dyDescent="0.25">
      <c r="A521" s="212"/>
    </row>
    <row r="522" spans="1:1" x14ac:dyDescent="0.25">
      <c r="A522" s="212"/>
    </row>
    <row r="523" spans="1:1" x14ac:dyDescent="0.25">
      <c r="A523" s="212"/>
    </row>
    <row r="524" spans="1:1" x14ac:dyDescent="0.25">
      <c r="A524" s="212"/>
    </row>
    <row r="525" spans="1:1" x14ac:dyDescent="0.25">
      <c r="A525" s="212"/>
    </row>
    <row r="526" spans="1:1" x14ac:dyDescent="0.25">
      <c r="A526" s="212"/>
    </row>
    <row r="527" spans="1:1" x14ac:dyDescent="0.25">
      <c r="A527" s="212"/>
    </row>
    <row r="528" spans="1:1" x14ac:dyDescent="0.25">
      <c r="A528" s="212"/>
    </row>
    <row r="529" spans="1:1" x14ac:dyDescent="0.25">
      <c r="A529" s="212"/>
    </row>
    <row r="530" spans="1:1" x14ac:dyDescent="0.25">
      <c r="A530" s="212"/>
    </row>
    <row r="531" spans="1:1" x14ac:dyDescent="0.25">
      <c r="A531" s="212"/>
    </row>
    <row r="532" spans="1:1" x14ac:dyDescent="0.25">
      <c r="A532" s="212"/>
    </row>
    <row r="533" spans="1:1" x14ac:dyDescent="0.25">
      <c r="A533" s="212"/>
    </row>
    <row r="534" spans="1:1" x14ac:dyDescent="0.25">
      <c r="A534" s="212"/>
    </row>
    <row r="535" spans="1:1" x14ac:dyDescent="0.25">
      <c r="A535" s="212"/>
    </row>
    <row r="536" spans="1:1" x14ac:dyDescent="0.25">
      <c r="A536" s="212"/>
    </row>
    <row r="537" spans="1:1" x14ac:dyDescent="0.25">
      <c r="A537" s="212"/>
    </row>
    <row r="538" spans="1:1" x14ac:dyDescent="0.25">
      <c r="A538" s="212"/>
    </row>
    <row r="539" spans="1:1" x14ac:dyDescent="0.25">
      <c r="A539" s="212"/>
    </row>
    <row r="540" spans="1:1" x14ac:dyDescent="0.25">
      <c r="A540" s="212"/>
    </row>
    <row r="541" spans="1:1" x14ac:dyDescent="0.25">
      <c r="A541" s="212"/>
    </row>
    <row r="542" spans="1:1" x14ac:dyDescent="0.25">
      <c r="A542" s="212"/>
    </row>
    <row r="543" spans="1:1" x14ac:dyDescent="0.25">
      <c r="A543" s="212"/>
    </row>
  </sheetData>
  <dataValidations count="2">
    <dataValidation type="list" allowBlank="1" showInputMessage="1" showErrorMessage="1" sqref="E15:E1048576" xr:uid="{858C3842-B724-4631-9845-BAFFB453BE3A}">
      <formula1>"Academic, Government , Public, Resource Managers, Students, Other,"</formula1>
    </dataValidation>
    <dataValidation type="list" allowBlank="1" showInputMessage="1" showErrorMessage="1" sqref="E2:E14" xr:uid="{2706EE71-FF0C-41D9-A906-DF8B04831296}">
      <formula1>"Academic, Government , Public, Resource Managers, Students, Teachers, Non-Government Organizations (NGOs), Other,"</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E7A7A-E61C-4A41-8C1E-FF82F65980B4}">
  <sheetPr>
    <tabColor theme="5"/>
  </sheetPr>
  <dimension ref="A1:D354"/>
  <sheetViews>
    <sheetView workbookViewId="0">
      <selection activeCell="B19" sqref="B19"/>
    </sheetView>
  </sheetViews>
  <sheetFormatPr defaultColWidth="8.85546875" defaultRowHeight="15" x14ac:dyDescent="0.25"/>
  <cols>
    <col min="1" max="1" width="16.28515625" style="4" customWidth="1"/>
    <col min="2" max="2" width="50.42578125" style="5" customWidth="1"/>
    <col min="3" max="3" width="50.42578125" style="6" customWidth="1"/>
    <col min="4" max="4" width="121.5703125" style="2" bestFit="1" customWidth="1"/>
  </cols>
  <sheetData>
    <row r="1" spans="1:4" s="39" customFormat="1" ht="16.5" thickBot="1" x14ac:dyDescent="0.3">
      <c r="A1" s="38" t="s">
        <v>364</v>
      </c>
      <c r="B1" s="8" t="s">
        <v>477</v>
      </c>
      <c r="C1" s="9" t="s">
        <v>478</v>
      </c>
      <c r="D1" s="10" t="s">
        <v>479</v>
      </c>
    </row>
    <row r="2" spans="1:4" ht="30" x14ac:dyDescent="0.25">
      <c r="A2" s="251" t="s">
        <v>182</v>
      </c>
      <c r="B2" s="56" t="s">
        <v>652</v>
      </c>
      <c r="C2" s="390" t="s">
        <v>653</v>
      </c>
      <c r="D2" s="57" t="s">
        <v>654</v>
      </c>
    </row>
    <row r="3" spans="1:4" ht="30" x14ac:dyDescent="0.25">
      <c r="A3" s="251" t="s">
        <v>182</v>
      </c>
      <c r="B3" s="56" t="s">
        <v>655</v>
      </c>
      <c r="C3" s="390" t="s">
        <v>653</v>
      </c>
      <c r="D3" s="57" t="s">
        <v>656</v>
      </c>
    </row>
    <row r="4" spans="1:4" ht="30" x14ac:dyDescent="0.25">
      <c r="A4" s="251" t="s">
        <v>197</v>
      </c>
      <c r="B4" s="60" t="s">
        <v>657</v>
      </c>
      <c r="C4" s="390" t="s">
        <v>658</v>
      </c>
      <c r="D4" s="64" t="s">
        <v>664</v>
      </c>
    </row>
    <row r="5" spans="1:4" x14ac:dyDescent="0.25">
      <c r="A5" s="251" t="s">
        <v>197</v>
      </c>
      <c r="B5" s="60" t="s">
        <v>659</v>
      </c>
      <c r="C5" s="25" t="s">
        <v>660</v>
      </c>
      <c r="D5" s="64" t="s">
        <v>664</v>
      </c>
    </row>
    <row r="6" spans="1:4" x14ac:dyDescent="0.25">
      <c r="A6" s="251" t="s">
        <v>197</v>
      </c>
      <c r="B6" s="60" t="s">
        <v>661</v>
      </c>
      <c r="C6" s="25" t="s">
        <v>662</v>
      </c>
      <c r="D6" s="64" t="s">
        <v>664</v>
      </c>
    </row>
    <row r="7" spans="1:4" ht="30" x14ac:dyDescent="0.25">
      <c r="A7" s="251" t="s">
        <v>197</v>
      </c>
      <c r="B7" s="60" t="s">
        <v>657</v>
      </c>
      <c r="C7" s="390" t="s">
        <v>658</v>
      </c>
      <c r="D7" s="64" t="s">
        <v>663</v>
      </c>
    </row>
    <row r="8" spans="1:4" x14ac:dyDescent="0.25">
      <c r="A8" s="251" t="s">
        <v>197</v>
      </c>
      <c r="B8" s="60" t="s">
        <v>659</v>
      </c>
      <c r="C8" s="25" t="s">
        <v>660</v>
      </c>
      <c r="D8" s="64" t="s">
        <v>663</v>
      </c>
    </row>
    <row r="9" spans="1:4" x14ac:dyDescent="0.25">
      <c r="A9" s="251" t="s">
        <v>197</v>
      </c>
      <c r="B9" s="60" t="s">
        <v>661</v>
      </c>
      <c r="C9" s="25" t="s">
        <v>662</v>
      </c>
      <c r="D9" s="64" t="s">
        <v>663</v>
      </c>
    </row>
    <row r="10" spans="1:4" x14ac:dyDescent="0.25">
      <c r="A10" s="280" t="s">
        <v>233</v>
      </c>
      <c r="B10" s="60" t="s">
        <v>665</v>
      </c>
      <c r="C10" s="25" t="s">
        <v>666</v>
      </c>
      <c r="D10" s="2" t="s">
        <v>667</v>
      </c>
    </row>
    <row r="11" spans="1:4" x14ac:dyDescent="0.25">
      <c r="A11" s="280"/>
      <c r="B11" s="60"/>
      <c r="C11" s="25"/>
    </row>
    <row r="12" spans="1:4" x14ac:dyDescent="0.25">
      <c r="A12" s="280"/>
      <c r="B12" s="60"/>
      <c r="C12" s="25"/>
    </row>
    <row r="13" spans="1:4" x14ac:dyDescent="0.25">
      <c r="A13" s="280"/>
      <c r="B13" s="60"/>
      <c r="C13" s="25"/>
    </row>
    <row r="14" spans="1:4" x14ac:dyDescent="0.25">
      <c r="A14" s="280"/>
      <c r="B14" s="60"/>
      <c r="C14" s="25"/>
    </row>
    <row r="15" spans="1:4" x14ac:dyDescent="0.25">
      <c r="A15" s="280"/>
      <c r="B15" s="60"/>
      <c r="C15" s="25"/>
    </row>
    <row r="16" spans="1:4" x14ac:dyDescent="0.25">
      <c r="A16" s="280"/>
      <c r="B16" s="60"/>
      <c r="C16" s="25"/>
    </row>
    <row r="17" spans="1:3" x14ac:dyDescent="0.25">
      <c r="A17" s="280"/>
      <c r="B17" s="60"/>
      <c r="C17" s="25"/>
    </row>
    <row r="18" spans="1:3" x14ac:dyDescent="0.25">
      <c r="A18" s="280"/>
      <c r="B18" s="60"/>
      <c r="C18" s="25"/>
    </row>
    <row r="19" spans="1:3" x14ac:dyDescent="0.25">
      <c r="A19" s="280"/>
      <c r="B19" s="60"/>
      <c r="C19" s="25"/>
    </row>
    <row r="20" spans="1:3" x14ac:dyDescent="0.25">
      <c r="A20" s="280"/>
      <c r="B20" s="60"/>
      <c r="C20" s="25"/>
    </row>
    <row r="21" spans="1:3" x14ac:dyDescent="0.25">
      <c r="A21" s="280"/>
      <c r="B21" s="60"/>
      <c r="C21" s="25"/>
    </row>
    <row r="22" spans="1:3" x14ac:dyDescent="0.25">
      <c r="A22" s="280"/>
      <c r="B22" s="60"/>
      <c r="C22" s="25"/>
    </row>
    <row r="23" spans="1:3" x14ac:dyDescent="0.25">
      <c r="A23" s="280"/>
      <c r="B23" s="60"/>
      <c r="C23" s="25"/>
    </row>
    <row r="24" spans="1:3" x14ac:dyDescent="0.25">
      <c r="A24" s="280"/>
      <c r="B24" s="60"/>
      <c r="C24" s="25"/>
    </row>
    <row r="25" spans="1:3" x14ac:dyDescent="0.25">
      <c r="A25" s="280"/>
      <c r="B25" s="60"/>
      <c r="C25" s="25"/>
    </row>
    <row r="26" spans="1:3" x14ac:dyDescent="0.25">
      <c r="A26" s="280"/>
      <c r="B26" s="60"/>
      <c r="C26" s="25"/>
    </row>
    <row r="27" spans="1:3" x14ac:dyDescent="0.25">
      <c r="A27" s="280"/>
      <c r="B27" s="60"/>
      <c r="C27" s="25"/>
    </row>
    <row r="28" spans="1:3" x14ac:dyDescent="0.25">
      <c r="A28" s="280"/>
      <c r="B28" s="60"/>
      <c r="C28" s="25"/>
    </row>
    <row r="29" spans="1:3" x14ac:dyDescent="0.25">
      <c r="A29" s="280"/>
      <c r="B29" s="60"/>
      <c r="C29" s="25"/>
    </row>
    <row r="30" spans="1:3" x14ac:dyDescent="0.25">
      <c r="A30" s="280"/>
      <c r="B30" s="60"/>
      <c r="C30" s="25"/>
    </row>
    <row r="31" spans="1:3" x14ac:dyDescent="0.25">
      <c r="A31" s="280"/>
      <c r="B31" s="60"/>
      <c r="C31" s="25"/>
    </row>
    <row r="32" spans="1:3" x14ac:dyDescent="0.25">
      <c r="A32" s="280"/>
      <c r="B32" s="60"/>
      <c r="C32" s="25"/>
    </row>
    <row r="33" spans="1:3" x14ac:dyDescent="0.25">
      <c r="A33" s="280"/>
      <c r="B33" s="60"/>
      <c r="C33" s="25"/>
    </row>
    <row r="34" spans="1:3" x14ac:dyDescent="0.25">
      <c r="A34" s="280"/>
      <c r="B34" s="60"/>
      <c r="C34" s="25"/>
    </row>
    <row r="35" spans="1:3" x14ac:dyDescent="0.25">
      <c r="A35" s="24" t="str">
        <f>IF(('Project Overview'!A36) &lt;&gt; 0, 'Project Overview'!A36, "")</f>
        <v/>
      </c>
      <c r="B35" s="60"/>
      <c r="C35" s="25"/>
    </row>
    <row r="36" spans="1:3" x14ac:dyDescent="0.25">
      <c r="A36" s="24" t="str">
        <f>IF(('Project Overview'!A37) &lt;&gt; 0, 'Project Overview'!A37, "")</f>
        <v/>
      </c>
      <c r="B36" s="60"/>
      <c r="C36" s="25"/>
    </row>
    <row r="37" spans="1:3" x14ac:dyDescent="0.25">
      <c r="A37" s="24" t="str">
        <f>IF(('Project Overview'!A38) &lt;&gt; 0, 'Project Overview'!A38, "")</f>
        <v/>
      </c>
      <c r="B37" s="60"/>
      <c r="C37" s="25"/>
    </row>
    <row r="38" spans="1:3" x14ac:dyDescent="0.25">
      <c r="A38" s="24" t="str">
        <f>IF(('Project Overview'!A39) &lt;&gt; 0, 'Project Overview'!A39, "")</f>
        <v/>
      </c>
      <c r="B38" s="60"/>
      <c r="C38" s="25"/>
    </row>
    <row r="39" spans="1:3" x14ac:dyDescent="0.25">
      <c r="A39" s="24" t="str">
        <f>IF(('Project Overview'!A40) &lt;&gt; 0, 'Project Overview'!A40, "")</f>
        <v/>
      </c>
      <c r="B39" s="60"/>
      <c r="C39" s="25"/>
    </row>
    <row r="40" spans="1:3" x14ac:dyDescent="0.25">
      <c r="A40" s="24" t="str">
        <f>IF(('Project Overview'!A41) &lt;&gt; 0, 'Project Overview'!A41, "")</f>
        <v/>
      </c>
      <c r="B40" s="60"/>
      <c r="C40" s="25"/>
    </row>
    <row r="41" spans="1:3" x14ac:dyDescent="0.25">
      <c r="A41" s="24" t="str">
        <f>IF(('Project Overview'!A42) &lt;&gt; 0, 'Project Overview'!A42, "")</f>
        <v/>
      </c>
      <c r="B41" s="60"/>
      <c r="C41" s="25"/>
    </row>
    <row r="42" spans="1:3" x14ac:dyDescent="0.25">
      <c r="A42" s="24" t="str">
        <f>IF(('Project Overview'!A43) &lt;&gt; 0, 'Project Overview'!A43, "")</f>
        <v/>
      </c>
      <c r="B42" s="60"/>
      <c r="C42" s="25"/>
    </row>
    <row r="43" spans="1:3" x14ac:dyDescent="0.25">
      <c r="A43" s="24" t="str">
        <f>IF(('Project Overview'!A44) &lt;&gt; 0, 'Project Overview'!A44, "")</f>
        <v/>
      </c>
      <c r="B43" s="60"/>
      <c r="C43" s="25"/>
    </row>
    <row r="44" spans="1:3" x14ac:dyDescent="0.25">
      <c r="A44" s="24" t="str">
        <f>IF(('Project Overview'!A45) &lt;&gt; 0, 'Project Overview'!A45, "")</f>
        <v/>
      </c>
      <c r="B44" s="60"/>
      <c r="C44" s="25"/>
    </row>
    <row r="45" spans="1:3" x14ac:dyDescent="0.25">
      <c r="A45" s="24" t="str">
        <f>IF(('Project Overview'!A46) &lt;&gt; 0, 'Project Overview'!A46, "")</f>
        <v/>
      </c>
      <c r="B45" s="60"/>
      <c r="C45" s="25"/>
    </row>
    <row r="46" spans="1:3" x14ac:dyDescent="0.25">
      <c r="A46" s="24" t="str">
        <f>IF(('Project Overview'!A47) &lt;&gt; 0, 'Project Overview'!A47, "")</f>
        <v/>
      </c>
      <c r="B46" s="60"/>
      <c r="C46" s="25"/>
    </row>
    <row r="47" spans="1:3" x14ac:dyDescent="0.25">
      <c r="A47" s="24" t="str">
        <f>IF(('Project Overview'!A48) &lt;&gt; 0, 'Project Overview'!A48, "")</f>
        <v/>
      </c>
      <c r="B47" s="60"/>
      <c r="C47" s="25"/>
    </row>
    <row r="48" spans="1:3" x14ac:dyDescent="0.25">
      <c r="A48" s="24" t="str">
        <f>IF(('Project Overview'!A49) &lt;&gt; 0, 'Project Overview'!A49, "")</f>
        <v/>
      </c>
      <c r="B48" s="60"/>
      <c r="C48" s="25"/>
    </row>
    <row r="49" spans="1:3" x14ac:dyDescent="0.25">
      <c r="A49" s="24" t="str">
        <f>IF(('Project Overview'!A50) &lt;&gt; 0, 'Project Overview'!A50, "")</f>
        <v/>
      </c>
      <c r="B49" s="60"/>
      <c r="C49" s="25"/>
    </row>
    <row r="50" spans="1:3" x14ac:dyDescent="0.25">
      <c r="A50" s="24" t="str">
        <f>IF(('Project Overview'!A51) &lt;&gt; 0, 'Project Overview'!A51, "")</f>
        <v/>
      </c>
      <c r="B50" s="60"/>
      <c r="C50" s="25"/>
    </row>
    <row r="51" spans="1:3" x14ac:dyDescent="0.25">
      <c r="A51" s="24" t="str">
        <f>IF(('Project Overview'!A52) &lt;&gt; 0, 'Project Overview'!A52, "")</f>
        <v/>
      </c>
      <c r="B51" s="60"/>
      <c r="C51" s="25"/>
    </row>
    <row r="52" spans="1:3" x14ac:dyDescent="0.25">
      <c r="A52" s="24" t="str">
        <f>IF(('Project Overview'!A53) &lt;&gt; 0, 'Project Overview'!A53, "")</f>
        <v/>
      </c>
      <c r="B52" s="60"/>
      <c r="C52" s="25"/>
    </row>
    <row r="53" spans="1:3" x14ac:dyDescent="0.25">
      <c r="A53" s="24" t="str">
        <f>IF(('Project Overview'!A54) &lt;&gt; 0, 'Project Overview'!A54, "")</f>
        <v/>
      </c>
      <c r="B53" s="60"/>
      <c r="C53" s="25"/>
    </row>
    <row r="54" spans="1:3" x14ac:dyDescent="0.25">
      <c r="A54" s="24" t="str">
        <f>IF(('Project Overview'!A55) &lt;&gt; 0, 'Project Overview'!A55, "")</f>
        <v/>
      </c>
      <c r="B54" s="60"/>
      <c r="C54" s="25"/>
    </row>
    <row r="55" spans="1:3" x14ac:dyDescent="0.25">
      <c r="A55" s="24" t="str">
        <f>IF(('Project Overview'!A56) &lt;&gt; 0, 'Project Overview'!A56, "")</f>
        <v/>
      </c>
      <c r="B55" s="60"/>
      <c r="C55" s="25"/>
    </row>
    <row r="56" spans="1:3" x14ac:dyDescent="0.25">
      <c r="A56" s="24" t="str">
        <f>IF(('Project Overview'!A57) &lt;&gt; 0, 'Project Overview'!A57, "")</f>
        <v/>
      </c>
      <c r="B56" s="60"/>
      <c r="C56" s="25"/>
    </row>
    <row r="57" spans="1:3" x14ac:dyDescent="0.25">
      <c r="A57" s="24" t="str">
        <f>IF(('Project Overview'!A58) &lt;&gt; 0, 'Project Overview'!A58, "")</f>
        <v/>
      </c>
      <c r="B57" s="60"/>
      <c r="C57" s="25"/>
    </row>
    <row r="58" spans="1:3" x14ac:dyDescent="0.25">
      <c r="A58" s="24" t="str">
        <f>IF(('Project Overview'!A59) &lt;&gt; 0, 'Project Overview'!A59, "")</f>
        <v/>
      </c>
      <c r="B58" s="60"/>
      <c r="C58" s="25"/>
    </row>
    <row r="59" spans="1:3" x14ac:dyDescent="0.25">
      <c r="A59" s="24" t="str">
        <f>IF(('Project Overview'!A60) &lt;&gt; 0, 'Project Overview'!A60, "")</f>
        <v/>
      </c>
      <c r="B59" s="60"/>
      <c r="C59" s="25"/>
    </row>
    <row r="60" spans="1:3" x14ac:dyDescent="0.25">
      <c r="A60" s="24" t="str">
        <f>IF(('Project Overview'!A61) &lt;&gt; 0, 'Project Overview'!A61, "")</f>
        <v/>
      </c>
      <c r="B60" s="60"/>
      <c r="C60" s="25"/>
    </row>
    <row r="61" spans="1:3" x14ac:dyDescent="0.25">
      <c r="A61" s="24" t="str">
        <f>IF(('Project Overview'!A62) &lt;&gt; 0, 'Project Overview'!A62, "")</f>
        <v/>
      </c>
      <c r="B61" s="60"/>
      <c r="C61" s="25"/>
    </row>
    <row r="62" spans="1:3" x14ac:dyDescent="0.25">
      <c r="A62" s="24" t="str">
        <f>IF(('Project Overview'!A63) &lt;&gt; 0, 'Project Overview'!A63, "")</f>
        <v/>
      </c>
      <c r="B62" s="60"/>
      <c r="C62" s="25"/>
    </row>
    <row r="63" spans="1:3" x14ac:dyDescent="0.25">
      <c r="A63" s="24" t="str">
        <f>IF(('Project Overview'!A64) &lt;&gt; 0, 'Project Overview'!A64, "")</f>
        <v/>
      </c>
      <c r="B63" s="60"/>
      <c r="C63" s="25"/>
    </row>
    <row r="64" spans="1:3" x14ac:dyDescent="0.25">
      <c r="A64" s="24" t="str">
        <f>IF(('Project Overview'!A65) &lt;&gt; 0, 'Project Overview'!A65, "")</f>
        <v/>
      </c>
      <c r="B64" s="60"/>
      <c r="C64" s="25"/>
    </row>
    <row r="65" spans="1:3" x14ac:dyDescent="0.25">
      <c r="A65" s="24" t="str">
        <f>IF(('Project Overview'!A66) &lt;&gt; 0, 'Project Overview'!A66, "")</f>
        <v/>
      </c>
      <c r="B65" s="60"/>
      <c r="C65" s="25"/>
    </row>
    <row r="66" spans="1:3" x14ac:dyDescent="0.25">
      <c r="A66" s="24" t="str">
        <f>IF(('Project Overview'!A67) &lt;&gt; 0, 'Project Overview'!A67, "")</f>
        <v/>
      </c>
      <c r="B66" s="60"/>
      <c r="C66" s="25"/>
    </row>
    <row r="67" spans="1:3" x14ac:dyDescent="0.25">
      <c r="A67" s="24" t="str">
        <f>IF(('Project Overview'!A68) &lt;&gt; 0, 'Project Overview'!A68, "")</f>
        <v/>
      </c>
      <c r="B67" s="60"/>
      <c r="C67" s="25"/>
    </row>
    <row r="68" spans="1:3" x14ac:dyDescent="0.25">
      <c r="A68" s="24" t="str">
        <f>IF(('Project Overview'!A69) &lt;&gt; 0, 'Project Overview'!A69, "")</f>
        <v/>
      </c>
      <c r="B68" s="60"/>
      <c r="C68" s="25"/>
    </row>
    <row r="69" spans="1:3" x14ac:dyDescent="0.25">
      <c r="A69" s="24" t="str">
        <f>IF(('Project Overview'!A70) &lt;&gt; 0, 'Project Overview'!A70, "")</f>
        <v/>
      </c>
      <c r="B69" s="60"/>
      <c r="C69" s="25"/>
    </row>
    <row r="70" spans="1:3" x14ac:dyDescent="0.25">
      <c r="A70" s="24" t="str">
        <f>IF(('Project Overview'!A71) &lt;&gt; 0, 'Project Overview'!A71, "")</f>
        <v/>
      </c>
      <c r="B70" s="60"/>
      <c r="C70" s="25"/>
    </row>
    <row r="71" spans="1:3" x14ac:dyDescent="0.25">
      <c r="A71" s="24" t="str">
        <f>IF(('Project Overview'!A72) &lt;&gt; 0, 'Project Overview'!A72, "")</f>
        <v/>
      </c>
      <c r="B71" s="60"/>
      <c r="C71" s="25"/>
    </row>
    <row r="72" spans="1:3" x14ac:dyDescent="0.25">
      <c r="A72" s="24" t="str">
        <f>IF(('Project Overview'!A73) &lt;&gt; 0, 'Project Overview'!A73, "")</f>
        <v/>
      </c>
      <c r="B72" s="60"/>
      <c r="C72" s="25"/>
    </row>
    <row r="73" spans="1:3" x14ac:dyDescent="0.25">
      <c r="A73" s="24" t="str">
        <f>IF(('Project Overview'!A74) &lt;&gt; 0, 'Project Overview'!A74, "")</f>
        <v/>
      </c>
      <c r="B73" s="60"/>
      <c r="C73" s="25"/>
    </row>
    <row r="74" spans="1:3" x14ac:dyDescent="0.25">
      <c r="A74" s="24" t="str">
        <f>IF(('Project Overview'!A75) &lt;&gt; 0, 'Project Overview'!A75, "")</f>
        <v/>
      </c>
      <c r="B74" s="60"/>
      <c r="C74" s="25"/>
    </row>
    <row r="75" spans="1:3" x14ac:dyDescent="0.25">
      <c r="A75" s="24" t="str">
        <f>IF(('Project Overview'!A76) &lt;&gt; 0, 'Project Overview'!A76, "")</f>
        <v/>
      </c>
      <c r="B75" s="60"/>
      <c r="C75" s="25"/>
    </row>
    <row r="76" spans="1:3" x14ac:dyDescent="0.25">
      <c r="A76" s="24" t="str">
        <f>IF(('Project Overview'!A77) &lt;&gt; 0, 'Project Overview'!A77, "")</f>
        <v/>
      </c>
      <c r="B76" s="60"/>
      <c r="C76" s="25"/>
    </row>
    <row r="77" spans="1:3" x14ac:dyDescent="0.25">
      <c r="A77" s="24" t="str">
        <f>IF(('Project Overview'!A78) &lt;&gt; 0, 'Project Overview'!A78, "")</f>
        <v/>
      </c>
      <c r="B77" s="60"/>
      <c r="C77" s="25"/>
    </row>
    <row r="78" spans="1:3" x14ac:dyDescent="0.25">
      <c r="A78" s="24" t="str">
        <f>IF(('Project Overview'!A79) &lt;&gt; 0, 'Project Overview'!A79, "")</f>
        <v/>
      </c>
      <c r="B78" s="60"/>
      <c r="C78" s="25"/>
    </row>
    <row r="79" spans="1:3" x14ac:dyDescent="0.25">
      <c r="A79" s="24" t="str">
        <f>IF(('Project Overview'!A80) &lt;&gt; 0, 'Project Overview'!A80, "")</f>
        <v/>
      </c>
      <c r="B79" s="60"/>
      <c r="C79" s="25"/>
    </row>
    <row r="80" spans="1:3" x14ac:dyDescent="0.25">
      <c r="A80" s="24" t="str">
        <f>IF(('Project Overview'!A81) &lt;&gt; 0, 'Project Overview'!A81, "")</f>
        <v/>
      </c>
      <c r="B80" s="60"/>
      <c r="C80" s="25"/>
    </row>
    <row r="81" spans="1:3" x14ac:dyDescent="0.25">
      <c r="A81" s="24" t="str">
        <f>IF(('Project Overview'!A82) &lt;&gt; 0, 'Project Overview'!A82, "")</f>
        <v/>
      </c>
      <c r="B81" s="60"/>
      <c r="C81" s="25"/>
    </row>
    <row r="82" spans="1:3" x14ac:dyDescent="0.25">
      <c r="A82" s="24" t="str">
        <f>IF(('Project Overview'!A83) &lt;&gt; 0, 'Project Overview'!A83, "")</f>
        <v/>
      </c>
      <c r="B82" s="60"/>
      <c r="C82" s="25"/>
    </row>
    <row r="83" spans="1:3" x14ac:dyDescent="0.25">
      <c r="A83" s="24" t="str">
        <f>IF(('Project Overview'!A84) &lt;&gt; 0, 'Project Overview'!A84, "")</f>
        <v/>
      </c>
      <c r="B83" s="60"/>
      <c r="C83" s="25"/>
    </row>
    <row r="84" spans="1:3" x14ac:dyDescent="0.25">
      <c r="A84" s="24" t="str">
        <f>IF(('Project Overview'!A85) &lt;&gt; 0, 'Project Overview'!A85, "")</f>
        <v/>
      </c>
      <c r="B84" s="60"/>
      <c r="C84" s="25"/>
    </row>
    <row r="85" spans="1:3" x14ac:dyDescent="0.25">
      <c r="A85" s="24" t="str">
        <f>IF(('Project Overview'!A86) &lt;&gt; 0, 'Project Overview'!A86, "")</f>
        <v/>
      </c>
      <c r="B85" s="60"/>
      <c r="C85" s="25"/>
    </row>
    <row r="86" spans="1:3" x14ac:dyDescent="0.25">
      <c r="A86" s="24" t="str">
        <f>IF(('Project Overview'!A87) &lt;&gt; 0, 'Project Overview'!A87, "")</f>
        <v/>
      </c>
      <c r="B86" s="60"/>
      <c r="C86" s="25"/>
    </row>
    <row r="87" spans="1:3" x14ac:dyDescent="0.25">
      <c r="A87" s="24" t="str">
        <f>IF(('Project Overview'!A88) &lt;&gt; 0, 'Project Overview'!A88, "")</f>
        <v/>
      </c>
      <c r="B87" s="60"/>
      <c r="C87" s="25"/>
    </row>
    <row r="88" spans="1:3" x14ac:dyDescent="0.25">
      <c r="A88" s="24" t="str">
        <f>IF(('Project Overview'!A89) &lt;&gt; 0, 'Project Overview'!A89, "")</f>
        <v/>
      </c>
      <c r="B88" s="60"/>
      <c r="C88" s="25"/>
    </row>
    <row r="89" spans="1:3" x14ac:dyDescent="0.25">
      <c r="A89" s="24" t="str">
        <f>IF(('Project Overview'!A90) &lt;&gt; 0, 'Project Overview'!A90, "")</f>
        <v/>
      </c>
      <c r="B89" s="60"/>
      <c r="C89" s="25"/>
    </row>
    <row r="90" spans="1:3" x14ac:dyDescent="0.25">
      <c r="A90" s="24" t="str">
        <f>IF(('Project Overview'!A91) &lt;&gt; 0, 'Project Overview'!A91, "")</f>
        <v/>
      </c>
      <c r="B90" s="60"/>
      <c r="C90" s="25"/>
    </row>
    <row r="91" spans="1:3" x14ac:dyDescent="0.25">
      <c r="A91" s="24" t="str">
        <f>IF(('Project Overview'!A92) &lt;&gt; 0, 'Project Overview'!A92, "")</f>
        <v/>
      </c>
      <c r="B91" s="60"/>
      <c r="C91" s="25"/>
    </row>
    <row r="92" spans="1:3" x14ac:dyDescent="0.25">
      <c r="A92" s="24" t="str">
        <f>IF(('Project Overview'!A93) &lt;&gt; 0, 'Project Overview'!A93, "")</f>
        <v/>
      </c>
      <c r="B92" s="60"/>
      <c r="C92" s="25"/>
    </row>
    <row r="93" spans="1:3" x14ac:dyDescent="0.25">
      <c r="A93" s="24" t="str">
        <f>IF(('Project Overview'!A94) &lt;&gt; 0, 'Project Overview'!A94, "")</f>
        <v/>
      </c>
      <c r="B93" s="60"/>
      <c r="C93" s="25"/>
    </row>
    <row r="94" spans="1:3" x14ac:dyDescent="0.25">
      <c r="A94" s="24" t="str">
        <f>IF(('Project Overview'!A95) &lt;&gt; 0, 'Project Overview'!A95, "")</f>
        <v/>
      </c>
      <c r="B94" s="60"/>
      <c r="C94" s="25"/>
    </row>
    <row r="95" spans="1:3" x14ac:dyDescent="0.25">
      <c r="A95" s="24" t="str">
        <f>IF(('Project Overview'!A96) &lt;&gt; 0, 'Project Overview'!A96, "")</f>
        <v/>
      </c>
      <c r="B95" s="60"/>
      <c r="C95" s="25"/>
    </row>
    <row r="96" spans="1:3" x14ac:dyDescent="0.25">
      <c r="A96" s="24" t="str">
        <f>IF(('Project Overview'!A97) &lt;&gt; 0, 'Project Overview'!A97, "")</f>
        <v/>
      </c>
      <c r="B96" s="60"/>
      <c r="C96" s="25"/>
    </row>
    <row r="97" spans="1:3" x14ac:dyDescent="0.25">
      <c r="A97" s="24" t="str">
        <f>IF(('Project Overview'!A98) &lt;&gt; 0, 'Project Overview'!A98, "")</f>
        <v/>
      </c>
      <c r="B97" s="60"/>
      <c r="C97" s="25"/>
    </row>
    <row r="98" spans="1:3" x14ac:dyDescent="0.25">
      <c r="A98" s="24" t="str">
        <f>IF(('Project Overview'!A99) &lt;&gt; 0, 'Project Overview'!A99, "")</f>
        <v/>
      </c>
      <c r="B98" s="60"/>
      <c r="C98" s="25"/>
    </row>
    <row r="99" spans="1:3" x14ac:dyDescent="0.25">
      <c r="A99" s="24" t="str">
        <f>IF(('Project Overview'!A100) &lt;&gt; 0, 'Project Overview'!A100, "")</f>
        <v/>
      </c>
      <c r="B99" s="60"/>
      <c r="C99" s="25"/>
    </row>
    <row r="100" spans="1:3" x14ac:dyDescent="0.25">
      <c r="A100" s="24" t="str">
        <f>IF(('Project Overview'!A101) &lt;&gt; 0, 'Project Overview'!A101, "")</f>
        <v/>
      </c>
      <c r="B100" s="60"/>
      <c r="C100" s="25"/>
    </row>
    <row r="101" spans="1:3" x14ac:dyDescent="0.25">
      <c r="A101" s="24" t="str">
        <f>IF(('Project Overview'!A102) &lt;&gt; 0, 'Project Overview'!A102, "")</f>
        <v/>
      </c>
      <c r="B101" s="60"/>
      <c r="C101" s="25"/>
    </row>
    <row r="102" spans="1:3" x14ac:dyDescent="0.25">
      <c r="A102" s="24" t="str">
        <f>IF(('Project Overview'!A103) &lt;&gt; 0, 'Project Overview'!A103, "")</f>
        <v/>
      </c>
      <c r="B102" s="60"/>
      <c r="C102" s="25"/>
    </row>
    <row r="103" spans="1:3" x14ac:dyDescent="0.25">
      <c r="A103" s="24" t="str">
        <f>IF(('Project Overview'!A104) &lt;&gt; 0, 'Project Overview'!A104, "")</f>
        <v/>
      </c>
      <c r="B103" s="60"/>
      <c r="C103" s="25"/>
    </row>
    <row r="104" spans="1:3" x14ac:dyDescent="0.25">
      <c r="A104" s="24" t="str">
        <f>IF(('Project Overview'!A105) &lt;&gt; 0, 'Project Overview'!A105, "")</f>
        <v/>
      </c>
      <c r="B104" s="60"/>
      <c r="C104" s="25"/>
    </row>
    <row r="105" spans="1:3" x14ac:dyDescent="0.25">
      <c r="A105" s="24" t="str">
        <f>IF(('Project Overview'!A106) &lt;&gt; 0, 'Project Overview'!A106, "")</f>
        <v/>
      </c>
      <c r="B105" s="60"/>
      <c r="C105" s="25"/>
    </row>
    <row r="106" spans="1:3" x14ac:dyDescent="0.25">
      <c r="A106" s="24" t="str">
        <f>IF(('Project Overview'!A107) &lt;&gt; 0, 'Project Overview'!A107, "")</f>
        <v/>
      </c>
      <c r="B106" s="60"/>
      <c r="C106" s="25"/>
    </row>
    <row r="107" spans="1:3" x14ac:dyDescent="0.25">
      <c r="A107" s="24" t="str">
        <f>IF(('Project Overview'!A108) &lt;&gt; 0, 'Project Overview'!A108, "")</f>
        <v/>
      </c>
      <c r="B107" s="60"/>
      <c r="C107" s="25"/>
    </row>
    <row r="108" spans="1:3" x14ac:dyDescent="0.25">
      <c r="A108" s="24" t="str">
        <f>IF(('Project Overview'!A109) &lt;&gt; 0, 'Project Overview'!A109, "")</f>
        <v/>
      </c>
      <c r="B108" s="60"/>
      <c r="C108" s="25"/>
    </row>
    <row r="109" spans="1:3" x14ac:dyDescent="0.25">
      <c r="A109" s="24" t="str">
        <f>IF(('Project Overview'!A110) &lt;&gt; 0, 'Project Overview'!A110, "")</f>
        <v/>
      </c>
      <c r="B109" s="60"/>
      <c r="C109" s="25"/>
    </row>
    <row r="110" spans="1:3" x14ac:dyDescent="0.25">
      <c r="A110" s="24" t="str">
        <f>IF(('Project Overview'!A111) &lt;&gt; 0, 'Project Overview'!A111, "")</f>
        <v/>
      </c>
      <c r="B110" s="60"/>
      <c r="C110" s="25"/>
    </row>
    <row r="111" spans="1:3" x14ac:dyDescent="0.25">
      <c r="A111" s="24" t="str">
        <f>IF(('Project Overview'!A112) &lt;&gt; 0, 'Project Overview'!A112, "")</f>
        <v/>
      </c>
      <c r="B111" s="60"/>
      <c r="C111" s="25"/>
    </row>
    <row r="112" spans="1:3" x14ac:dyDescent="0.25">
      <c r="A112" s="24" t="str">
        <f>IF(('Project Overview'!A113) &lt;&gt; 0, 'Project Overview'!A113, "")</f>
        <v/>
      </c>
      <c r="B112" s="60"/>
      <c r="C112" s="25"/>
    </row>
    <row r="113" spans="1:3" x14ac:dyDescent="0.25">
      <c r="A113" s="24" t="str">
        <f>IF(('Project Overview'!A114) &lt;&gt; 0, 'Project Overview'!A114, "")</f>
        <v/>
      </c>
      <c r="B113" s="60"/>
      <c r="C113" s="25"/>
    </row>
    <row r="114" spans="1:3" x14ac:dyDescent="0.25">
      <c r="A114" s="24" t="str">
        <f>IF(('Project Overview'!A115) &lt;&gt; 0, 'Project Overview'!A115, "")</f>
        <v/>
      </c>
      <c r="B114" s="60"/>
      <c r="C114" s="25"/>
    </row>
    <row r="115" spans="1:3" x14ac:dyDescent="0.25">
      <c r="A115" s="24" t="str">
        <f>IF(('Project Overview'!A116) &lt;&gt; 0, 'Project Overview'!A116, "")</f>
        <v/>
      </c>
      <c r="B115" s="60"/>
      <c r="C115" s="25"/>
    </row>
    <row r="116" spans="1:3" x14ac:dyDescent="0.25">
      <c r="A116" s="24" t="str">
        <f>IF(('Project Overview'!A117) &lt;&gt; 0, 'Project Overview'!A117, "")</f>
        <v/>
      </c>
      <c r="B116" s="60"/>
      <c r="C116" s="25"/>
    </row>
    <row r="117" spans="1:3" x14ac:dyDescent="0.25">
      <c r="A117" s="24" t="str">
        <f>IF(('Project Overview'!A118) &lt;&gt; 0, 'Project Overview'!A118, "")</f>
        <v/>
      </c>
      <c r="B117" s="60"/>
      <c r="C117" s="25"/>
    </row>
    <row r="118" spans="1:3" x14ac:dyDescent="0.25">
      <c r="A118" s="24" t="str">
        <f>IF(('Project Overview'!A119) &lt;&gt; 0, 'Project Overview'!A119, "")</f>
        <v/>
      </c>
      <c r="B118" s="60"/>
      <c r="C118" s="25"/>
    </row>
    <row r="119" spans="1:3" x14ac:dyDescent="0.25">
      <c r="A119" s="24" t="str">
        <f>IF(('Project Overview'!A120) &lt;&gt; 0, 'Project Overview'!A120, "")</f>
        <v/>
      </c>
      <c r="B119" s="60"/>
      <c r="C119" s="25"/>
    </row>
    <row r="120" spans="1:3" x14ac:dyDescent="0.25">
      <c r="A120" s="24" t="str">
        <f>IF(('Project Overview'!A121) &lt;&gt; 0, 'Project Overview'!A121, "")</f>
        <v/>
      </c>
      <c r="B120" s="60"/>
      <c r="C120" s="25"/>
    </row>
    <row r="121" spans="1:3" x14ac:dyDescent="0.25">
      <c r="A121" s="24" t="str">
        <f>IF(('Project Overview'!A122) &lt;&gt; 0, 'Project Overview'!A122, "")</f>
        <v/>
      </c>
      <c r="B121" s="60"/>
      <c r="C121" s="25"/>
    </row>
    <row r="122" spans="1:3" x14ac:dyDescent="0.25">
      <c r="A122" s="24" t="str">
        <f>IF(('Project Overview'!A123) &lt;&gt; 0, 'Project Overview'!A123, "")</f>
        <v/>
      </c>
      <c r="B122" s="60"/>
      <c r="C122" s="25"/>
    </row>
    <row r="123" spans="1:3" x14ac:dyDescent="0.25">
      <c r="A123" s="24" t="str">
        <f>IF(('Project Overview'!A124) &lt;&gt; 0, 'Project Overview'!A124, "")</f>
        <v/>
      </c>
      <c r="B123" s="60"/>
      <c r="C123" s="25"/>
    </row>
    <row r="124" spans="1:3" x14ac:dyDescent="0.25">
      <c r="A124" s="24" t="str">
        <f>IF(('Project Overview'!A125) &lt;&gt; 0, 'Project Overview'!A125, "")</f>
        <v/>
      </c>
      <c r="B124" s="60"/>
      <c r="C124" s="25"/>
    </row>
    <row r="125" spans="1:3" x14ac:dyDescent="0.25">
      <c r="A125" s="24" t="str">
        <f>IF(('Project Overview'!A126) &lt;&gt; 0, 'Project Overview'!A126, "")</f>
        <v/>
      </c>
      <c r="B125" s="60"/>
      <c r="C125" s="25"/>
    </row>
    <row r="126" spans="1:3" x14ac:dyDescent="0.25">
      <c r="A126" s="24" t="str">
        <f>IF(('Project Overview'!A127) &lt;&gt; 0, 'Project Overview'!A127, "")</f>
        <v/>
      </c>
      <c r="B126" s="60"/>
      <c r="C126" s="25"/>
    </row>
    <row r="127" spans="1:3" x14ac:dyDescent="0.25">
      <c r="A127" s="24" t="str">
        <f>IF(('Project Overview'!A128) &lt;&gt; 0, 'Project Overview'!A128, "")</f>
        <v/>
      </c>
      <c r="B127" s="60"/>
      <c r="C127" s="25"/>
    </row>
    <row r="128" spans="1:3" x14ac:dyDescent="0.25">
      <c r="A128" s="24" t="str">
        <f>IF(('Project Overview'!A129) &lt;&gt; 0, 'Project Overview'!A129, "")</f>
        <v/>
      </c>
      <c r="B128" s="60"/>
      <c r="C128" s="25"/>
    </row>
    <row r="129" spans="1:3" x14ac:dyDescent="0.25">
      <c r="A129" s="24" t="str">
        <f>IF(('Project Overview'!A130) &lt;&gt; 0, 'Project Overview'!A130, "")</f>
        <v/>
      </c>
      <c r="B129" s="60"/>
      <c r="C129" s="25"/>
    </row>
    <row r="130" spans="1:3" x14ac:dyDescent="0.25">
      <c r="A130" s="24" t="str">
        <f>IF(('Project Overview'!A131) &lt;&gt; 0, 'Project Overview'!A131, "")</f>
        <v/>
      </c>
      <c r="B130" s="60"/>
      <c r="C130" s="25"/>
    </row>
    <row r="131" spans="1:3" x14ac:dyDescent="0.25">
      <c r="A131" s="24" t="str">
        <f>IF(('Project Overview'!A132) &lt;&gt; 0, 'Project Overview'!A132, "")</f>
        <v/>
      </c>
      <c r="B131" s="60"/>
      <c r="C131" s="25"/>
    </row>
    <row r="132" spans="1:3" x14ac:dyDescent="0.25">
      <c r="A132" s="24" t="str">
        <f>IF(('Project Overview'!A133) &lt;&gt; 0, 'Project Overview'!A133, "")</f>
        <v/>
      </c>
      <c r="B132" s="60"/>
      <c r="C132" s="25"/>
    </row>
    <row r="133" spans="1:3" x14ac:dyDescent="0.25">
      <c r="A133" s="24" t="str">
        <f>IF(('Project Overview'!A134) &lt;&gt; 0, 'Project Overview'!A134, "")</f>
        <v/>
      </c>
      <c r="B133" s="60"/>
      <c r="C133" s="25"/>
    </row>
    <row r="134" spans="1:3" x14ac:dyDescent="0.25">
      <c r="A134" s="24" t="str">
        <f>IF(('Project Overview'!A135) &lt;&gt; 0, 'Project Overview'!A135, "")</f>
        <v/>
      </c>
      <c r="B134" s="60"/>
      <c r="C134" s="25"/>
    </row>
    <row r="135" spans="1:3" x14ac:dyDescent="0.25">
      <c r="A135" s="24" t="str">
        <f>IF(('Project Overview'!A136) &lt;&gt; 0, 'Project Overview'!A136, "")</f>
        <v/>
      </c>
      <c r="B135" s="60"/>
      <c r="C135" s="25"/>
    </row>
    <row r="136" spans="1:3" x14ac:dyDescent="0.25">
      <c r="A136" s="24" t="str">
        <f>IF(('Project Overview'!A137) &lt;&gt; 0, 'Project Overview'!A137, "")</f>
        <v/>
      </c>
      <c r="B136" s="60"/>
      <c r="C136" s="25"/>
    </row>
    <row r="137" spans="1:3" x14ac:dyDescent="0.25">
      <c r="A137" s="24" t="str">
        <f>IF(('Project Overview'!A138) &lt;&gt; 0, 'Project Overview'!A138, "")</f>
        <v/>
      </c>
      <c r="B137" s="60"/>
      <c r="C137" s="25"/>
    </row>
    <row r="138" spans="1:3" x14ac:dyDescent="0.25">
      <c r="A138" s="24" t="str">
        <f>IF(('Project Overview'!A139) &lt;&gt; 0, 'Project Overview'!A139, "")</f>
        <v/>
      </c>
      <c r="B138" s="60"/>
      <c r="C138" s="25"/>
    </row>
    <row r="139" spans="1:3" x14ac:dyDescent="0.25">
      <c r="A139" s="24" t="str">
        <f>IF(('Project Overview'!A140) &lt;&gt; 0, 'Project Overview'!A140, "")</f>
        <v/>
      </c>
      <c r="B139" s="60"/>
      <c r="C139" s="25"/>
    </row>
    <row r="140" spans="1:3" x14ac:dyDescent="0.25">
      <c r="A140" s="24" t="str">
        <f>IF(('Project Overview'!A141) &lt;&gt; 0, 'Project Overview'!A141, "")</f>
        <v/>
      </c>
      <c r="B140" s="60"/>
      <c r="C140" s="25"/>
    </row>
    <row r="141" spans="1:3" x14ac:dyDescent="0.25">
      <c r="A141" s="24" t="str">
        <f>IF(('Project Overview'!A142) &lt;&gt; 0, 'Project Overview'!A142, "")</f>
        <v/>
      </c>
      <c r="B141" s="60"/>
      <c r="C141" s="25"/>
    </row>
    <row r="142" spans="1:3" x14ac:dyDescent="0.25">
      <c r="A142" s="24" t="str">
        <f>IF(('Project Overview'!A143) &lt;&gt; 0, 'Project Overview'!A143, "")</f>
        <v/>
      </c>
      <c r="B142" s="60"/>
      <c r="C142" s="25"/>
    </row>
    <row r="143" spans="1:3" x14ac:dyDescent="0.25">
      <c r="A143" s="24" t="str">
        <f>IF(('Project Overview'!A144) &lt;&gt; 0, 'Project Overview'!A144, "")</f>
        <v/>
      </c>
      <c r="B143" s="60"/>
      <c r="C143" s="25"/>
    </row>
    <row r="144" spans="1:3" x14ac:dyDescent="0.25">
      <c r="A144" s="24" t="str">
        <f>IF(('Project Overview'!A145) &lt;&gt; 0, 'Project Overview'!A145, "")</f>
        <v/>
      </c>
      <c r="B144" s="60"/>
      <c r="C144" s="25"/>
    </row>
    <row r="145" spans="1:3" x14ac:dyDescent="0.25">
      <c r="A145" s="24" t="str">
        <f>IF(('Project Overview'!A146) &lt;&gt; 0, 'Project Overview'!A146, "")</f>
        <v/>
      </c>
      <c r="B145" s="60"/>
      <c r="C145" s="25"/>
    </row>
    <row r="146" spans="1:3" x14ac:dyDescent="0.25">
      <c r="A146" s="24" t="str">
        <f>IF(('Project Overview'!A147) &lt;&gt; 0, 'Project Overview'!A147, "")</f>
        <v/>
      </c>
      <c r="B146" s="60"/>
      <c r="C146" s="25"/>
    </row>
    <row r="147" spans="1:3" x14ac:dyDescent="0.25">
      <c r="A147" s="24" t="str">
        <f>IF(('Project Overview'!A148) &lt;&gt; 0, 'Project Overview'!A148, "")</f>
        <v/>
      </c>
      <c r="B147" s="60"/>
      <c r="C147" s="25"/>
    </row>
    <row r="148" spans="1:3" x14ac:dyDescent="0.25">
      <c r="A148" s="24" t="str">
        <f>IF(('Project Overview'!A149) &lt;&gt; 0, 'Project Overview'!A149, "")</f>
        <v/>
      </c>
      <c r="B148" s="60"/>
      <c r="C148" s="25"/>
    </row>
    <row r="149" spans="1:3" x14ac:dyDescent="0.25">
      <c r="A149" s="24" t="str">
        <f>IF(('Project Overview'!A150) &lt;&gt; 0, 'Project Overview'!A150, "")</f>
        <v/>
      </c>
      <c r="B149" s="60"/>
      <c r="C149" s="25"/>
    </row>
    <row r="150" spans="1:3" x14ac:dyDescent="0.25">
      <c r="A150" s="24" t="str">
        <f>IF(('Project Overview'!A151) &lt;&gt; 0, 'Project Overview'!A151, "")</f>
        <v/>
      </c>
      <c r="B150" s="60"/>
      <c r="C150" s="25"/>
    </row>
    <row r="151" spans="1:3" x14ac:dyDescent="0.25">
      <c r="A151" s="24" t="str">
        <f>IF(('Project Overview'!A152) &lt;&gt; 0, 'Project Overview'!A152, "")</f>
        <v/>
      </c>
      <c r="B151" s="60"/>
      <c r="C151" s="25"/>
    </row>
    <row r="152" spans="1:3" x14ac:dyDescent="0.25">
      <c r="A152" s="24" t="str">
        <f>IF(('Project Overview'!A153) &lt;&gt; 0, 'Project Overview'!A153, "")</f>
        <v/>
      </c>
      <c r="B152" s="60"/>
      <c r="C152" s="25"/>
    </row>
    <row r="153" spans="1:3" x14ac:dyDescent="0.25">
      <c r="A153" s="24" t="str">
        <f>IF(('Project Overview'!A154) &lt;&gt; 0, 'Project Overview'!A154, "")</f>
        <v/>
      </c>
      <c r="B153" s="60"/>
      <c r="C153" s="25"/>
    </row>
    <row r="154" spans="1:3" x14ac:dyDescent="0.25">
      <c r="A154" s="24" t="str">
        <f>IF(('Project Overview'!A155) &lt;&gt; 0, 'Project Overview'!A155, "")</f>
        <v/>
      </c>
      <c r="B154" s="60"/>
      <c r="C154" s="25"/>
    </row>
    <row r="155" spans="1:3" x14ac:dyDescent="0.25">
      <c r="A155" s="24" t="str">
        <f>IF(('Project Overview'!A156) &lt;&gt; 0, 'Project Overview'!A156, "")</f>
        <v/>
      </c>
      <c r="B155" s="60"/>
      <c r="C155" s="25"/>
    </row>
    <row r="156" spans="1:3" x14ac:dyDescent="0.25">
      <c r="A156" s="24" t="str">
        <f>IF(('Project Overview'!A157) &lt;&gt; 0, 'Project Overview'!A157, "")</f>
        <v/>
      </c>
      <c r="B156" s="60"/>
      <c r="C156" s="25"/>
    </row>
    <row r="157" spans="1:3" x14ac:dyDescent="0.25">
      <c r="A157" s="24" t="str">
        <f>IF(('Project Overview'!A158) &lt;&gt; 0, 'Project Overview'!A158, "")</f>
        <v/>
      </c>
      <c r="B157" s="60"/>
      <c r="C157" s="25"/>
    </row>
    <row r="158" spans="1:3" x14ac:dyDescent="0.25">
      <c r="A158" s="24" t="str">
        <f>IF(('Project Overview'!A159) &lt;&gt; 0, 'Project Overview'!A159, "")</f>
        <v/>
      </c>
      <c r="B158" s="60"/>
      <c r="C158" s="25"/>
    </row>
    <row r="159" spans="1:3" x14ac:dyDescent="0.25">
      <c r="A159" s="24" t="str">
        <f>IF(('Project Overview'!A160) &lt;&gt; 0, 'Project Overview'!A160, "")</f>
        <v/>
      </c>
      <c r="B159" s="60"/>
      <c r="C159" s="25"/>
    </row>
    <row r="160" spans="1:3" x14ac:dyDescent="0.25">
      <c r="A160" s="24" t="str">
        <f>IF(('Project Overview'!A161) &lt;&gt; 0, 'Project Overview'!A161, "")</f>
        <v/>
      </c>
      <c r="B160" s="60"/>
      <c r="C160" s="25"/>
    </row>
    <row r="161" spans="1:3" x14ac:dyDescent="0.25">
      <c r="A161" s="24" t="str">
        <f>IF(('Project Overview'!A162) &lt;&gt; 0, 'Project Overview'!A162, "")</f>
        <v/>
      </c>
      <c r="B161" s="60"/>
      <c r="C161" s="25"/>
    </row>
    <row r="162" spans="1:3" x14ac:dyDescent="0.25">
      <c r="A162" s="24" t="str">
        <f>IF(('Project Overview'!A163) &lt;&gt; 0, 'Project Overview'!A163, "")</f>
        <v/>
      </c>
      <c r="B162" s="60"/>
      <c r="C162" s="25"/>
    </row>
    <row r="163" spans="1:3" x14ac:dyDescent="0.25">
      <c r="A163" s="24" t="str">
        <f>IF(('Project Overview'!A164) &lt;&gt; 0, 'Project Overview'!A164, "")</f>
        <v/>
      </c>
      <c r="B163" s="60"/>
      <c r="C163" s="25"/>
    </row>
    <row r="164" spans="1:3" x14ac:dyDescent="0.25">
      <c r="A164" s="24" t="str">
        <f>IF(('Project Overview'!A165) &lt;&gt; 0, 'Project Overview'!A165, "")</f>
        <v/>
      </c>
      <c r="B164" s="60"/>
      <c r="C164" s="25"/>
    </row>
    <row r="165" spans="1:3" x14ac:dyDescent="0.25">
      <c r="A165" s="24" t="str">
        <f>IF(('Project Overview'!A166) &lt;&gt; 0, 'Project Overview'!A166, "")</f>
        <v/>
      </c>
      <c r="B165" s="60"/>
      <c r="C165" s="25"/>
    </row>
    <row r="166" spans="1:3" x14ac:dyDescent="0.25">
      <c r="A166" s="24" t="str">
        <f>IF(('Project Overview'!A167) &lt;&gt; 0, 'Project Overview'!A167, "")</f>
        <v/>
      </c>
      <c r="B166" s="60"/>
      <c r="C166" s="25"/>
    </row>
    <row r="167" spans="1:3" x14ac:dyDescent="0.25">
      <c r="A167" s="24" t="str">
        <f>IF(('Project Overview'!A168) &lt;&gt; 0, 'Project Overview'!A168, "")</f>
        <v/>
      </c>
      <c r="B167" s="60"/>
      <c r="C167" s="25"/>
    </row>
    <row r="168" spans="1:3" x14ac:dyDescent="0.25">
      <c r="A168" s="24" t="str">
        <f>IF(('Project Overview'!A169) &lt;&gt; 0, 'Project Overview'!A169, "")</f>
        <v/>
      </c>
      <c r="B168" s="60"/>
      <c r="C168" s="25"/>
    </row>
    <row r="169" spans="1:3" x14ac:dyDescent="0.25">
      <c r="A169" s="24" t="str">
        <f>IF(('Project Overview'!A170) &lt;&gt; 0, 'Project Overview'!A170, "")</f>
        <v/>
      </c>
      <c r="B169" s="60"/>
      <c r="C169" s="25"/>
    </row>
    <row r="170" spans="1:3" x14ac:dyDescent="0.25">
      <c r="A170" s="24" t="str">
        <f>IF(('Project Overview'!A171) &lt;&gt; 0, 'Project Overview'!A171, "")</f>
        <v/>
      </c>
      <c r="B170" s="60"/>
      <c r="C170" s="25"/>
    </row>
    <row r="171" spans="1:3" x14ac:dyDescent="0.25">
      <c r="A171" s="24" t="str">
        <f>IF(('Project Overview'!A172) &lt;&gt; 0, 'Project Overview'!A172, "")</f>
        <v/>
      </c>
      <c r="B171" s="60"/>
      <c r="C171" s="25"/>
    </row>
    <row r="172" spans="1:3" x14ac:dyDescent="0.25">
      <c r="A172" s="24" t="str">
        <f>IF(('Project Overview'!A173) &lt;&gt; 0, 'Project Overview'!A173, "")</f>
        <v/>
      </c>
      <c r="B172" s="60"/>
      <c r="C172" s="25"/>
    </row>
    <row r="173" spans="1:3" x14ac:dyDescent="0.25">
      <c r="A173" s="24" t="str">
        <f>IF(('Project Overview'!A174) &lt;&gt; 0, 'Project Overview'!A174, "")</f>
        <v/>
      </c>
      <c r="B173" s="60"/>
      <c r="C173" s="25"/>
    </row>
    <row r="174" spans="1:3" x14ac:dyDescent="0.25">
      <c r="A174" s="24" t="str">
        <f>IF(('Project Overview'!A175) &lt;&gt; 0, 'Project Overview'!A175, "")</f>
        <v/>
      </c>
      <c r="B174" s="60"/>
      <c r="C174" s="25"/>
    </row>
    <row r="175" spans="1:3" x14ac:dyDescent="0.25">
      <c r="A175" s="24" t="str">
        <f>IF(('Project Overview'!A176) &lt;&gt; 0, 'Project Overview'!A176, "")</f>
        <v/>
      </c>
      <c r="B175" s="60"/>
      <c r="C175" s="25"/>
    </row>
    <row r="176" spans="1:3" x14ac:dyDescent="0.25">
      <c r="A176" s="24" t="str">
        <f>IF(('Project Overview'!A177) &lt;&gt; 0, 'Project Overview'!A177, "")</f>
        <v/>
      </c>
      <c r="B176" s="60"/>
      <c r="C176" s="25"/>
    </row>
    <row r="177" spans="1:3" x14ac:dyDescent="0.25">
      <c r="A177" s="24" t="str">
        <f>IF(('Project Overview'!A178) &lt;&gt; 0, 'Project Overview'!A178, "")</f>
        <v/>
      </c>
      <c r="B177" s="60"/>
      <c r="C177" s="25"/>
    </row>
    <row r="178" spans="1:3" x14ac:dyDescent="0.25">
      <c r="A178" s="24" t="str">
        <f>IF(('Project Overview'!A179) &lt;&gt; 0, 'Project Overview'!A179, "")</f>
        <v/>
      </c>
      <c r="B178" s="60"/>
      <c r="C178" s="25"/>
    </row>
    <row r="179" spans="1:3" x14ac:dyDescent="0.25">
      <c r="A179" s="24" t="str">
        <f>IF(('Project Overview'!A180) &lt;&gt; 0, 'Project Overview'!A180, "")</f>
        <v/>
      </c>
      <c r="B179" s="60"/>
      <c r="C179" s="25"/>
    </row>
    <row r="180" spans="1:3" x14ac:dyDescent="0.25">
      <c r="A180" s="24" t="str">
        <f>IF(('Project Overview'!A181) &lt;&gt; 0, 'Project Overview'!A181, "")</f>
        <v/>
      </c>
      <c r="B180" s="60"/>
      <c r="C180" s="25"/>
    </row>
    <row r="181" spans="1:3" x14ac:dyDescent="0.25">
      <c r="A181" s="24" t="str">
        <f>IF(('Project Overview'!A182) &lt;&gt; 0, 'Project Overview'!A182, "")</f>
        <v/>
      </c>
      <c r="B181" s="60"/>
      <c r="C181" s="25"/>
    </row>
    <row r="182" spans="1:3" x14ac:dyDescent="0.25">
      <c r="A182" s="24" t="str">
        <f>IF(('Project Overview'!A183) &lt;&gt; 0, 'Project Overview'!A183, "")</f>
        <v/>
      </c>
      <c r="B182" s="60"/>
      <c r="C182" s="25"/>
    </row>
    <row r="183" spans="1:3" x14ac:dyDescent="0.25">
      <c r="A183" s="24" t="str">
        <f>IF(('Project Overview'!A184) &lt;&gt; 0, 'Project Overview'!A184, "")</f>
        <v/>
      </c>
      <c r="B183" s="60"/>
      <c r="C183" s="25"/>
    </row>
    <row r="184" spans="1:3" x14ac:dyDescent="0.25">
      <c r="A184" s="24" t="str">
        <f>IF(('Project Overview'!A185) &lt;&gt; 0, 'Project Overview'!A185, "")</f>
        <v/>
      </c>
      <c r="B184" s="60"/>
      <c r="C184" s="25"/>
    </row>
    <row r="185" spans="1:3" x14ac:dyDescent="0.25">
      <c r="A185" s="24" t="str">
        <f>IF(('Project Overview'!A186) &lt;&gt; 0, 'Project Overview'!A186, "")</f>
        <v/>
      </c>
      <c r="B185" s="60"/>
      <c r="C185" s="25"/>
    </row>
    <row r="186" spans="1:3" x14ac:dyDescent="0.25">
      <c r="A186" s="24" t="str">
        <f>IF(('Project Overview'!A187) &lt;&gt; 0, 'Project Overview'!A187, "")</f>
        <v/>
      </c>
      <c r="B186" s="60"/>
      <c r="C186" s="25"/>
    </row>
    <row r="187" spans="1:3" x14ac:dyDescent="0.25">
      <c r="A187" s="24" t="str">
        <f>IF(('Project Overview'!A188) &lt;&gt; 0, 'Project Overview'!A188, "")</f>
        <v/>
      </c>
      <c r="B187" s="60"/>
      <c r="C187" s="25"/>
    </row>
    <row r="188" spans="1:3" x14ac:dyDescent="0.25">
      <c r="A188" s="24" t="str">
        <f>IF(('Project Overview'!A189) &lt;&gt; 0, 'Project Overview'!A189, "")</f>
        <v/>
      </c>
      <c r="B188" s="60"/>
      <c r="C188" s="25"/>
    </row>
    <row r="189" spans="1:3" x14ac:dyDescent="0.25">
      <c r="A189" s="24" t="str">
        <f>IF(('Project Overview'!A190) &lt;&gt; 0, 'Project Overview'!A190, "")</f>
        <v/>
      </c>
      <c r="B189" s="60"/>
      <c r="C189" s="25"/>
    </row>
    <row r="190" spans="1:3" x14ac:dyDescent="0.25">
      <c r="A190" s="24" t="str">
        <f>IF(('Project Overview'!A191) &lt;&gt; 0, 'Project Overview'!A191, "")</f>
        <v/>
      </c>
      <c r="B190" s="60"/>
      <c r="C190" s="25"/>
    </row>
    <row r="191" spans="1:3" x14ac:dyDescent="0.25">
      <c r="A191" s="24" t="str">
        <f>IF(('Project Overview'!A192) &lt;&gt; 0, 'Project Overview'!A192, "")</f>
        <v/>
      </c>
      <c r="B191" s="60"/>
      <c r="C191" s="25"/>
    </row>
    <row r="192" spans="1:3" x14ac:dyDescent="0.25">
      <c r="A192" s="24" t="str">
        <f>IF(('Project Overview'!A193) &lt;&gt; 0, 'Project Overview'!A193, "")</f>
        <v/>
      </c>
      <c r="B192" s="60"/>
      <c r="C192" s="25"/>
    </row>
    <row r="193" spans="1:3" x14ac:dyDescent="0.25">
      <c r="A193" s="24" t="str">
        <f>IF(('Project Overview'!A194) &lt;&gt; 0, 'Project Overview'!A194, "")</f>
        <v/>
      </c>
      <c r="B193" s="60"/>
      <c r="C193" s="25"/>
    </row>
    <row r="194" spans="1:3" x14ac:dyDescent="0.25">
      <c r="A194" s="24" t="str">
        <f>IF(('Project Overview'!A195) &lt;&gt; 0, 'Project Overview'!A195, "")</f>
        <v/>
      </c>
      <c r="B194" s="60"/>
      <c r="C194" s="25"/>
    </row>
    <row r="195" spans="1:3" x14ac:dyDescent="0.25">
      <c r="A195" s="24" t="str">
        <f>IF(('Project Overview'!A196) &lt;&gt; 0, 'Project Overview'!A196, "")</f>
        <v/>
      </c>
      <c r="B195" s="60"/>
      <c r="C195" s="25"/>
    </row>
    <row r="196" spans="1:3" x14ac:dyDescent="0.25">
      <c r="A196" s="24" t="str">
        <f>IF(('Project Overview'!A197) &lt;&gt; 0, 'Project Overview'!A197, "")</f>
        <v/>
      </c>
      <c r="B196" s="60"/>
      <c r="C196" s="25"/>
    </row>
    <row r="197" spans="1:3" x14ac:dyDescent="0.25">
      <c r="A197" s="24" t="str">
        <f>IF(('Project Overview'!A198) &lt;&gt; 0, 'Project Overview'!A198, "")</f>
        <v/>
      </c>
      <c r="B197" s="60"/>
      <c r="C197" s="25"/>
    </row>
    <row r="198" spans="1:3" x14ac:dyDescent="0.25">
      <c r="A198" s="24" t="str">
        <f>IF(('Project Overview'!A199) &lt;&gt; 0, 'Project Overview'!A199, "")</f>
        <v/>
      </c>
      <c r="B198" s="60"/>
      <c r="C198" s="25"/>
    </row>
    <row r="199" spans="1:3" x14ac:dyDescent="0.25">
      <c r="A199" s="24" t="str">
        <f>IF(('Project Overview'!A200) &lt;&gt; 0, 'Project Overview'!A200, "")</f>
        <v/>
      </c>
      <c r="B199" s="60"/>
      <c r="C199" s="25"/>
    </row>
    <row r="200" spans="1:3" x14ac:dyDescent="0.25">
      <c r="A200" s="24" t="str">
        <f>IF(('Project Overview'!A201) &lt;&gt; 0, 'Project Overview'!A201, "")</f>
        <v/>
      </c>
      <c r="B200" s="60"/>
      <c r="C200" s="25"/>
    </row>
    <row r="201" spans="1:3" x14ac:dyDescent="0.25">
      <c r="A201" s="24" t="str">
        <f>IF(('Project Overview'!A202) &lt;&gt; 0, 'Project Overview'!A202, "")</f>
        <v/>
      </c>
      <c r="B201" s="60"/>
      <c r="C201" s="25"/>
    </row>
    <row r="202" spans="1:3" x14ac:dyDescent="0.25">
      <c r="A202" s="24" t="str">
        <f>IF(('Project Overview'!A203) &lt;&gt; 0, 'Project Overview'!A203, "")</f>
        <v/>
      </c>
      <c r="B202" s="60"/>
      <c r="C202" s="25"/>
    </row>
    <row r="203" spans="1:3" x14ac:dyDescent="0.25">
      <c r="A203" s="24" t="str">
        <f>IF(('Project Overview'!A204) &lt;&gt; 0, 'Project Overview'!A204, "")</f>
        <v/>
      </c>
      <c r="B203" s="60"/>
      <c r="C203" s="25"/>
    </row>
    <row r="204" spans="1:3" x14ac:dyDescent="0.25">
      <c r="A204" s="24" t="str">
        <f>IF(('Project Overview'!A205) &lt;&gt; 0, 'Project Overview'!A205, "")</f>
        <v/>
      </c>
      <c r="B204" s="60"/>
      <c r="C204" s="25"/>
    </row>
    <row r="205" spans="1:3" x14ac:dyDescent="0.25">
      <c r="A205" s="24" t="str">
        <f>IF(('Project Overview'!A206) &lt;&gt; 0, 'Project Overview'!A206, "")</f>
        <v/>
      </c>
      <c r="B205" s="60"/>
      <c r="C205" s="25"/>
    </row>
    <row r="206" spans="1:3" x14ac:dyDescent="0.25">
      <c r="A206" s="24" t="str">
        <f>IF(('Project Overview'!A207) &lt;&gt; 0, 'Project Overview'!A207, "")</f>
        <v/>
      </c>
      <c r="B206" s="60"/>
      <c r="C206" s="25"/>
    </row>
    <row r="207" spans="1:3" x14ac:dyDescent="0.25">
      <c r="A207" s="24" t="str">
        <f>IF(('Project Overview'!A208) &lt;&gt; 0, 'Project Overview'!A208, "")</f>
        <v/>
      </c>
      <c r="B207" s="60"/>
      <c r="C207" s="25"/>
    </row>
    <row r="208" spans="1:3" x14ac:dyDescent="0.25">
      <c r="A208" s="24" t="str">
        <f>IF(('Project Overview'!A209) &lt;&gt; 0, 'Project Overview'!A209, "")</f>
        <v/>
      </c>
      <c r="B208" s="60"/>
      <c r="C208" s="25"/>
    </row>
    <row r="209" spans="1:3" x14ac:dyDescent="0.25">
      <c r="A209" s="24" t="str">
        <f>IF(('Project Overview'!A210) &lt;&gt; 0, 'Project Overview'!A210, "")</f>
        <v/>
      </c>
      <c r="B209" s="60"/>
      <c r="C209" s="25"/>
    </row>
    <row r="210" spans="1:3" x14ac:dyDescent="0.25">
      <c r="A210" s="24" t="str">
        <f>IF(('Project Overview'!A211) &lt;&gt; 0, 'Project Overview'!A211, "")</f>
        <v/>
      </c>
      <c r="B210" s="60"/>
      <c r="C210" s="25"/>
    </row>
    <row r="211" spans="1:3" x14ac:dyDescent="0.25">
      <c r="A211" s="24" t="str">
        <f>IF(('Project Overview'!A212) &lt;&gt; 0, 'Project Overview'!A212, "")</f>
        <v/>
      </c>
      <c r="B211" s="60"/>
      <c r="C211" s="25"/>
    </row>
    <row r="212" spans="1:3" x14ac:dyDescent="0.25">
      <c r="A212" s="24" t="str">
        <f>IF(('Project Overview'!A213) &lt;&gt; 0, 'Project Overview'!A213, "")</f>
        <v/>
      </c>
      <c r="B212" s="60"/>
      <c r="C212" s="25"/>
    </row>
    <row r="213" spans="1:3" x14ac:dyDescent="0.25">
      <c r="A213" s="24" t="str">
        <f>IF(('Project Overview'!A214) &lt;&gt; 0, 'Project Overview'!A214, "")</f>
        <v/>
      </c>
      <c r="B213" s="60"/>
      <c r="C213" s="25"/>
    </row>
    <row r="214" spans="1:3" x14ac:dyDescent="0.25">
      <c r="A214" s="24" t="str">
        <f>IF(('Project Overview'!A215) &lt;&gt; 0, 'Project Overview'!A215, "")</f>
        <v/>
      </c>
      <c r="B214" s="60"/>
      <c r="C214" s="25"/>
    </row>
    <row r="215" spans="1:3" x14ac:dyDescent="0.25">
      <c r="A215" s="24" t="str">
        <f>IF(('Project Overview'!A216) &lt;&gt; 0, 'Project Overview'!A216, "")</f>
        <v/>
      </c>
      <c r="B215" s="60"/>
      <c r="C215" s="25"/>
    </row>
    <row r="216" spans="1:3" x14ac:dyDescent="0.25">
      <c r="A216" s="24" t="str">
        <f>IF(('Project Overview'!A217) &lt;&gt; 0, 'Project Overview'!A217, "")</f>
        <v/>
      </c>
      <c r="B216" s="60"/>
      <c r="C216" s="25"/>
    </row>
    <row r="217" spans="1:3" x14ac:dyDescent="0.25">
      <c r="A217" s="24" t="str">
        <f>IF(('Project Overview'!A218) &lt;&gt; 0, 'Project Overview'!A218, "")</f>
        <v/>
      </c>
      <c r="B217" s="60"/>
      <c r="C217" s="25"/>
    </row>
    <row r="218" spans="1:3" x14ac:dyDescent="0.25">
      <c r="A218" s="24" t="str">
        <f>IF(('Project Overview'!A219) &lt;&gt; 0, 'Project Overview'!A219, "")</f>
        <v/>
      </c>
      <c r="B218" s="60"/>
      <c r="C218" s="25"/>
    </row>
    <row r="219" spans="1:3" x14ac:dyDescent="0.25">
      <c r="A219" s="24" t="str">
        <f>IF(('Project Overview'!A220) &lt;&gt; 0, 'Project Overview'!A220, "")</f>
        <v/>
      </c>
      <c r="B219" s="60"/>
      <c r="C219" s="25"/>
    </row>
    <row r="220" spans="1:3" x14ac:dyDescent="0.25">
      <c r="A220" s="24" t="str">
        <f>IF(('Project Overview'!A221) &lt;&gt; 0, 'Project Overview'!A221, "")</f>
        <v/>
      </c>
      <c r="B220" s="60"/>
      <c r="C220" s="25"/>
    </row>
    <row r="221" spans="1:3" x14ac:dyDescent="0.25">
      <c r="A221" s="24" t="str">
        <f>IF(('Project Overview'!A222) &lt;&gt; 0, 'Project Overview'!A222, "")</f>
        <v/>
      </c>
      <c r="B221" s="60"/>
      <c r="C221" s="25"/>
    </row>
    <row r="222" spans="1:3" x14ac:dyDescent="0.25">
      <c r="A222" s="24" t="str">
        <f>IF(('Project Overview'!A223) &lt;&gt; 0, 'Project Overview'!A223, "")</f>
        <v/>
      </c>
      <c r="B222" s="60"/>
      <c r="C222" s="25"/>
    </row>
    <row r="223" spans="1:3" x14ac:dyDescent="0.25">
      <c r="A223" s="24" t="str">
        <f>IF(('Project Overview'!A224) &lt;&gt; 0, 'Project Overview'!A224, "")</f>
        <v/>
      </c>
      <c r="B223" s="60"/>
      <c r="C223" s="25"/>
    </row>
    <row r="224" spans="1:3" x14ac:dyDescent="0.25">
      <c r="A224" s="24" t="str">
        <f>IF(('Project Overview'!A225) &lt;&gt; 0, 'Project Overview'!A225, "")</f>
        <v/>
      </c>
      <c r="B224" s="60"/>
      <c r="C224" s="25"/>
    </row>
    <row r="225" spans="1:3" x14ac:dyDescent="0.25">
      <c r="A225" s="24" t="str">
        <f>IF(('Project Overview'!A226) &lt;&gt; 0, 'Project Overview'!A226, "")</f>
        <v/>
      </c>
      <c r="B225" s="60"/>
      <c r="C225" s="25"/>
    </row>
    <row r="226" spans="1:3" x14ac:dyDescent="0.25">
      <c r="A226" s="24" t="str">
        <f>IF(('Project Overview'!A227) &lt;&gt; 0, 'Project Overview'!A227, "")</f>
        <v/>
      </c>
      <c r="B226" s="60"/>
      <c r="C226" s="25"/>
    </row>
    <row r="227" spans="1:3" x14ac:dyDescent="0.25">
      <c r="A227" s="24" t="str">
        <f>IF(('Project Overview'!A228) &lt;&gt; 0, 'Project Overview'!A228, "")</f>
        <v/>
      </c>
      <c r="B227" s="60"/>
      <c r="C227" s="25"/>
    </row>
    <row r="228" spans="1:3" x14ac:dyDescent="0.25">
      <c r="A228" s="24" t="str">
        <f>IF(('Project Overview'!A229) &lt;&gt; 0, 'Project Overview'!A229, "")</f>
        <v/>
      </c>
      <c r="B228" s="60"/>
      <c r="C228" s="25"/>
    </row>
    <row r="229" spans="1:3" x14ac:dyDescent="0.25">
      <c r="A229" s="24" t="str">
        <f>IF(('Project Overview'!A230) &lt;&gt; 0, 'Project Overview'!A230, "")</f>
        <v/>
      </c>
      <c r="B229" s="60"/>
      <c r="C229" s="25"/>
    </row>
    <row r="230" spans="1:3" x14ac:dyDescent="0.25">
      <c r="A230" s="24" t="str">
        <f>IF(('Project Overview'!A231) &lt;&gt; 0, 'Project Overview'!A231, "")</f>
        <v/>
      </c>
      <c r="B230" s="60"/>
      <c r="C230" s="25"/>
    </row>
    <row r="231" spans="1:3" x14ac:dyDescent="0.25">
      <c r="A231" s="24" t="str">
        <f>IF(('Project Overview'!A232) &lt;&gt; 0, 'Project Overview'!A232, "")</f>
        <v/>
      </c>
      <c r="B231" s="60"/>
      <c r="C231" s="25"/>
    </row>
    <row r="232" spans="1:3" x14ac:dyDescent="0.25">
      <c r="A232" s="24" t="str">
        <f>IF(('Project Overview'!A233) &lt;&gt; 0, 'Project Overview'!A233, "")</f>
        <v/>
      </c>
      <c r="B232" s="60"/>
      <c r="C232" s="25"/>
    </row>
    <row r="233" spans="1:3" x14ac:dyDescent="0.25">
      <c r="A233" s="24" t="str">
        <f>IF(('Project Overview'!A234) &lt;&gt; 0, 'Project Overview'!A234, "")</f>
        <v/>
      </c>
      <c r="B233" s="60"/>
      <c r="C233" s="25"/>
    </row>
    <row r="234" spans="1:3" x14ac:dyDescent="0.25">
      <c r="A234" s="24" t="str">
        <f>IF(('Project Overview'!A235) &lt;&gt; 0, 'Project Overview'!A235, "")</f>
        <v/>
      </c>
      <c r="B234" s="60"/>
      <c r="C234" s="25"/>
    </row>
    <row r="235" spans="1:3" x14ac:dyDescent="0.25">
      <c r="A235" s="24" t="str">
        <f>IF(('Project Overview'!A236) &lt;&gt; 0, 'Project Overview'!A236, "")</f>
        <v/>
      </c>
      <c r="B235" s="60"/>
      <c r="C235" s="25"/>
    </row>
    <row r="236" spans="1:3" x14ac:dyDescent="0.25">
      <c r="A236" s="24" t="str">
        <f>IF(('Project Overview'!A237) &lt;&gt; 0, 'Project Overview'!A237, "")</f>
        <v/>
      </c>
      <c r="B236" s="60"/>
      <c r="C236" s="25"/>
    </row>
    <row r="237" spans="1:3" x14ac:dyDescent="0.25">
      <c r="A237" s="24" t="str">
        <f>IF(('Project Overview'!A238) &lt;&gt; 0, 'Project Overview'!A238, "")</f>
        <v/>
      </c>
      <c r="B237" s="60"/>
      <c r="C237" s="25"/>
    </row>
    <row r="238" spans="1:3" x14ac:dyDescent="0.25">
      <c r="A238" s="24" t="str">
        <f>IF(('Project Overview'!A239) &lt;&gt; 0, 'Project Overview'!A239, "")</f>
        <v/>
      </c>
      <c r="B238" s="60"/>
      <c r="C238" s="25"/>
    </row>
    <row r="239" spans="1:3" x14ac:dyDescent="0.25">
      <c r="A239" s="24" t="str">
        <f>IF(('Project Overview'!A240) &lt;&gt; 0, 'Project Overview'!A240, "")</f>
        <v/>
      </c>
      <c r="B239" s="60"/>
      <c r="C239" s="25"/>
    </row>
    <row r="240" spans="1:3" x14ac:dyDescent="0.25">
      <c r="A240" s="24" t="str">
        <f>IF(('Project Overview'!A241) &lt;&gt; 0, 'Project Overview'!A241, "")</f>
        <v/>
      </c>
      <c r="B240" s="60"/>
      <c r="C240" s="25"/>
    </row>
    <row r="241" spans="1:3" x14ac:dyDescent="0.25">
      <c r="A241" s="24" t="str">
        <f>IF(('Project Overview'!A242) &lt;&gt; 0, 'Project Overview'!A242, "")</f>
        <v/>
      </c>
      <c r="B241" s="60"/>
      <c r="C241" s="25"/>
    </row>
    <row r="242" spans="1:3" x14ac:dyDescent="0.25">
      <c r="A242" s="24" t="str">
        <f>IF(('Project Overview'!A243) &lt;&gt; 0, 'Project Overview'!A243, "")</f>
        <v/>
      </c>
      <c r="B242" s="60"/>
      <c r="C242" s="25"/>
    </row>
    <row r="243" spans="1:3" x14ac:dyDescent="0.25">
      <c r="A243" s="24" t="str">
        <f>IF(('Project Overview'!A244) &lt;&gt; 0, 'Project Overview'!A244, "")</f>
        <v/>
      </c>
      <c r="B243" s="60"/>
      <c r="C243" s="25"/>
    </row>
    <row r="244" spans="1:3" x14ac:dyDescent="0.25">
      <c r="A244" s="24" t="str">
        <f>IF(('Project Overview'!A245) &lt;&gt; 0, 'Project Overview'!A245, "")</f>
        <v/>
      </c>
      <c r="B244" s="60"/>
      <c r="C244" s="25"/>
    </row>
    <row r="245" spans="1:3" x14ac:dyDescent="0.25">
      <c r="A245" s="24" t="str">
        <f>IF(('Project Overview'!A246) &lt;&gt; 0, 'Project Overview'!A246, "")</f>
        <v/>
      </c>
      <c r="B245" s="60"/>
      <c r="C245" s="25"/>
    </row>
    <row r="246" spans="1:3" x14ac:dyDescent="0.25">
      <c r="A246" s="24" t="str">
        <f>IF(('Project Overview'!A247) &lt;&gt; 0, 'Project Overview'!A247, "")</f>
        <v/>
      </c>
      <c r="B246" s="60"/>
      <c r="C246" s="25"/>
    </row>
    <row r="247" spans="1:3" x14ac:dyDescent="0.25">
      <c r="A247" s="24" t="str">
        <f>IF(('Project Overview'!A248) &lt;&gt; 0, 'Project Overview'!A248, "")</f>
        <v/>
      </c>
      <c r="B247" s="60"/>
      <c r="C247" s="25"/>
    </row>
    <row r="248" spans="1:3" x14ac:dyDescent="0.25">
      <c r="A248" s="24" t="str">
        <f>IF(('Project Overview'!A249) &lt;&gt; 0, 'Project Overview'!A249, "")</f>
        <v/>
      </c>
      <c r="B248" s="60"/>
      <c r="C248" s="25"/>
    </row>
    <row r="249" spans="1:3" x14ac:dyDescent="0.25">
      <c r="A249" s="24" t="str">
        <f>IF(('Project Overview'!A250) &lt;&gt; 0, 'Project Overview'!A250, "")</f>
        <v/>
      </c>
      <c r="B249" s="60"/>
      <c r="C249" s="25"/>
    </row>
    <row r="250" spans="1:3" x14ac:dyDescent="0.25">
      <c r="A250" s="24" t="str">
        <f>IF(('Project Overview'!A251) &lt;&gt; 0, 'Project Overview'!A251, "")</f>
        <v/>
      </c>
      <c r="B250" s="60"/>
      <c r="C250" s="25"/>
    </row>
    <row r="251" spans="1:3" x14ac:dyDescent="0.25">
      <c r="A251" s="24" t="str">
        <f>IF(('Project Overview'!A252) &lt;&gt; 0, 'Project Overview'!A252, "")</f>
        <v/>
      </c>
      <c r="B251" s="60"/>
      <c r="C251" s="25"/>
    </row>
    <row r="252" spans="1:3" x14ac:dyDescent="0.25">
      <c r="A252" s="24" t="str">
        <f>IF(('Project Overview'!A253) &lt;&gt; 0, 'Project Overview'!A253, "")</f>
        <v/>
      </c>
      <c r="B252" s="60"/>
      <c r="C252" s="25"/>
    </row>
    <row r="253" spans="1:3" x14ac:dyDescent="0.25">
      <c r="A253" s="24" t="str">
        <f>IF(('Project Overview'!A254) &lt;&gt; 0, 'Project Overview'!A254, "")</f>
        <v/>
      </c>
      <c r="B253" s="60"/>
      <c r="C253" s="25"/>
    </row>
    <row r="254" spans="1:3" x14ac:dyDescent="0.25">
      <c r="A254" s="24" t="str">
        <f>IF(('Project Overview'!A255) &lt;&gt; 0, 'Project Overview'!A255, "")</f>
        <v/>
      </c>
      <c r="B254" s="60"/>
      <c r="C254" s="25"/>
    </row>
    <row r="255" spans="1:3" x14ac:dyDescent="0.25">
      <c r="A255" s="24" t="str">
        <f>IF(('Project Overview'!A256) &lt;&gt; 0, 'Project Overview'!A256, "")</f>
        <v/>
      </c>
      <c r="B255" s="60"/>
      <c r="C255" s="25"/>
    </row>
    <row r="256" spans="1:3" x14ac:dyDescent="0.25">
      <c r="A256" s="24" t="str">
        <f>IF(('Project Overview'!A257) &lt;&gt; 0, 'Project Overview'!A257, "")</f>
        <v/>
      </c>
      <c r="B256" s="60"/>
      <c r="C256" s="25"/>
    </row>
    <row r="257" spans="1:3" x14ac:dyDescent="0.25">
      <c r="A257" s="24" t="str">
        <f>IF(('Project Overview'!A258) &lt;&gt; 0, 'Project Overview'!A258, "")</f>
        <v/>
      </c>
      <c r="B257" s="60"/>
      <c r="C257" s="25"/>
    </row>
    <row r="258" spans="1:3" x14ac:dyDescent="0.25">
      <c r="A258" s="24" t="str">
        <f>IF(('Project Overview'!A259) &lt;&gt; 0, 'Project Overview'!A259, "")</f>
        <v/>
      </c>
      <c r="B258" s="60"/>
      <c r="C258" s="25"/>
    </row>
    <row r="259" spans="1:3" x14ac:dyDescent="0.25">
      <c r="A259" s="24" t="str">
        <f>IF(('Project Overview'!A260) &lt;&gt; 0, 'Project Overview'!A260, "")</f>
        <v/>
      </c>
      <c r="B259" s="60"/>
      <c r="C259" s="25"/>
    </row>
    <row r="260" spans="1:3" x14ac:dyDescent="0.25">
      <c r="A260" s="24" t="str">
        <f>IF(('Project Overview'!A261) &lt;&gt; 0, 'Project Overview'!A261, "")</f>
        <v/>
      </c>
      <c r="B260" s="60"/>
      <c r="C260" s="25"/>
    </row>
    <row r="261" spans="1:3" x14ac:dyDescent="0.25">
      <c r="A261" s="24" t="str">
        <f>IF(('Project Overview'!A262) &lt;&gt; 0, 'Project Overview'!A262, "")</f>
        <v/>
      </c>
      <c r="B261" s="60"/>
      <c r="C261" s="25"/>
    </row>
    <row r="262" spans="1:3" x14ac:dyDescent="0.25">
      <c r="A262" s="24" t="str">
        <f>IF(('Project Overview'!A263) &lt;&gt; 0, 'Project Overview'!A263, "")</f>
        <v/>
      </c>
      <c r="B262" s="60"/>
      <c r="C262" s="25"/>
    </row>
    <row r="263" spans="1:3" x14ac:dyDescent="0.25">
      <c r="A263" s="24" t="str">
        <f>IF(('Project Overview'!A264) &lt;&gt; 0, 'Project Overview'!A264, "")</f>
        <v/>
      </c>
      <c r="B263" s="60"/>
      <c r="C263" s="25"/>
    </row>
    <row r="264" spans="1:3" x14ac:dyDescent="0.25">
      <c r="A264" s="24" t="str">
        <f>IF(('Project Overview'!A265) &lt;&gt; 0, 'Project Overview'!A265, "")</f>
        <v/>
      </c>
      <c r="B264" s="60"/>
      <c r="C264" s="25"/>
    </row>
    <row r="265" spans="1:3" x14ac:dyDescent="0.25">
      <c r="A265" s="24" t="str">
        <f>IF(('Project Overview'!A266) &lt;&gt; 0, 'Project Overview'!A266, "")</f>
        <v/>
      </c>
      <c r="B265" s="60"/>
      <c r="C265" s="25"/>
    </row>
    <row r="266" spans="1:3" x14ac:dyDescent="0.25">
      <c r="A266" s="24" t="str">
        <f>IF(('Project Overview'!A267) &lt;&gt; 0, 'Project Overview'!A267, "")</f>
        <v/>
      </c>
      <c r="B266" s="60"/>
      <c r="C266" s="25"/>
    </row>
    <row r="267" spans="1:3" x14ac:dyDescent="0.25">
      <c r="A267" s="24" t="str">
        <f>IF(('Project Overview'!A268) &lt;&gt; 0, 'Project Overview'!A268, "")</f>
        <v/>
      </c>
      <c r="B267" s="60"/>
      <c r="C267" s="25"/>
    </row>
    <row r="268" spans="1:3" x14ac:dyDescent="0.25">
      <c r="A268" s="24" t="str">
        <f>IF(('Project Overview'!A269) &lt;&gt; 0, 'Project Overview'!A269, "")</f>
        <v/>
      </c>
      <c r="B268" s="60"/>
      <c r="C268" s="25"/>
    </row>
    <row r="269" spans="1:3" x14ac:dyDescent="0.25">
      <c r="A269" s="24" t="str">
        <f>IF(('Project Overview'!A270) &lt;&gt; 0, 'Project Overview'!A270, "")</f>
        <v/>
      </c>
      <c r="B269" s="60"/>
      <c r="C269" s="25"/>
    </row>
    <row r="270" spans="1:3" x14ac:dyDescent="0.25">
      <c r="A270" s="24" t="str">
        <f>IF(('Project Overview'!A271) &lt;&gt; 0, 'Project Overview'!A271, "")</f>
        <v/>
      </c>
      <c r="B270" s="60"/>
      <c r="C270" s="25"/>
    </row>
    <row r="271" spans="1:3" x14ac:dyDescent="0.25">
      <c r="A271" s="24" t="str">
        <f>IF(('Project Overview'!A272) &lt;&gt; 0, 'Project Overview'!A272, "")</f>
        <v/>
      </c>
      <c r="B271" s="60"/>
      <c r="C271" s="25"/>
    </row>
    <row r="272" spans="1:3" x14ac:dyDescent="0.25">
      <c r="A272" s="24" t="str">
        <f>IF(('Project Overview'!A273) &lt;&gt; 0, 'Project Overview'!A273, "")</f>
        <v/>
      </c>
      <c r="B272" s="60"/>
      <c r="C272" s="25"/>
    </row>
    <row r="273" spans="1:3" x14ac:dyDescent="0.25">
      <c r="A273" s="24" t="str">
        <f>IF(('Project Overview'!A274) &lt;&gt; 0, 'Project Overview'!A274, "")</f>
        <v/>
      </c>
      <c r="B273" s="60"/>
      <c r="C273" s="25"/>
    </row>
    <row r="274" spans="1:3" x14ac:dyDescent="0.25">
      <c r="A274" s="24" t="str">
        <f>IF(('Project Overview'!A275) &lt;&gt; 0, 'Project Overview'!A275, "")</f>
        <v/>
      </c>
      <c r="B274" s="60"/>
      <c r="C274" s="25"/>
    </row>
    <row r="275" spans="1:3" x14ac:dyDescent="0.25">
      <c r="A275" s="24" t="str">
        <f>IF(('Project Overview'!A276) &lt;&gt; 0, 'Project Overview'!A276, "")</f>
        <v/>
      </c>
      <c r="B275" s="60"/>
      <c r="C275" s="25"/>
    </row>
    <row r="276" spans="1:3" x14ac:dyDescent="0.25">
      <c r="A276" s="24" t="str">
        <f>IF(('Project Overview'!A277) &lt;&gt; 0, 'Project Overview'!A277, "")</f>
        <v/>
      </c>
      <c r="B276" s="60"/>
      <c r="C276" s="25"/>
    </row>
    <row r="277" spans="1:3" x14ac:dyDescent="0.25">
      <c r="A277" s="24" t="str">
        <f>IF(('Project Overview'!A278) &lt;&gt; 0, 'Project Overview'!A278, "")</f>
        <v/>
      </c>
      <c r="B277" s="60"/>
      <c r="C277" s="25"/>
    </row>
    <row r="278" spans="1:3" x14ac:dyDescent="0.25">
      <c r="A278" s="24" t="str">
        <f>IF(('Project Overview'!A279) &lt;&gt; 0, 'Project Overview'!A279, "")</f>
        <v/>
      </c>
      <c r="B278" s="60"/>
      <c r="C278" s="25"/>
    </row>
    <row r="279" spans="1:3" x14ac:dyDescent="0.25">
      <c r="A279" s="24" t="str">
        <f>IF(('Project Overview'!A280) &lt;&gt; 0, 'Project Overview'!A280, "")</f>
        <v/>
      </c>
      <c r="B279" s="60"/>
      <c r="C279" s="25"/>
    </row>
    <row r="280" spans="1:3" x14ac:dyDescent="0.25">
      <c r="A280" s="24" t="str">
        <f>IF(('Project Overview'!A281) &lt;&gt; 0, 'Project Overview'!A281, "")</f>
        <v/>
      </c>
      <c r="B280" s="60"/>
      <c r="C280" s="25"/>
    </row>
    <row r="281" spans="1:3" x14ac:dyDescent="0.25">
      <c r="A281" s="24" t="str">
        <f>IF(('Project Overview'!A282) &lt;&gt; 0, 'Project Overview'!A282, "")</f>
        <v/>
      </c>
      <c r="B281" s="60"/>
      <c r="C281" s="25"/>
    </row>
    <row r="282" spans="1:3" x14ac:dyDescent="0.25">
      <c r="A282" s="24" t="str">
        <f>IF(('Project Overview'!A283) &lt;&gt; 0, 'Project Overview'!A283, "")</f>
        <v/>
      </c>
      <c r="B282" s="60"/>
      <c r="C282" s="25"/>
    </row>
    <row r="283" spans="1:3" x14ac:dyDescent="0.25">
      <c r="A283" s="24" t="str">
        <f>IF(('Project Overview'!A284) &lt;&gt; 0, 'Project Overview'!A284, "")</f>
        <v/>
      </c>
      <c r="B283" s="60"/>
      <c r="C283" s="25"/>
    </row>
    <row r="284" spans="1:3" x14ac:dyDescent="0.25">
      <c r="A284" s="24" t="str">
        <f>IF(('Project Overview'!A285) &lt;&gt; 0, 'Project Overview'!A285, "")</f>
        <v/>
      </c>
      <c r="B284" s="60"/>
      <c r="C284" s="25"/>
    </row>
    <row r="285" spans="1:3" x14ac:dyDescent="0.25">
      <c r="A285" s="24" t="str">
        <f>IF(('Project Overview'!A286) &lt;&gt; 0, 'Project Overview'!A286, "")</f>
        <v/>
      </c>
      <c r="B285" s="60"/>
      <c r="C285" s="25"/>
    </row>
    <row r="286" spans="1:3" x14ac:dyDescent="0.25">
      <c r="A286" s="24" t="str">
        <f>IF(('Project Overview'!A287) &lt;&gt; 0, 'Project Overview'!A287, "")</f>
        <v/>
      </c>
      <c r="B286" s="60"/>
      <c r="C286" s="25"/>
    </row>
    <row r="287" spans="1:3" x14ac:dyDescent="0.25">
      <c r="A287" s="24" t="str">
        <f>IF(('Project Overview'!A288) &lt;&gt; 0, 'Project Overview'!A288, "")</f>
        <v/>
      </c>
      <c r="B287" s="60"/>
      <c r="C287" s="25"/>
    </row>
    <row r="288" spans="1:3" x14ac:dyDescent="0.25">
      <c r="A288" s="24" t="str">
        <f>IF(('Project Overview'!A289) &lt;&gt; 0, 'Project Overview'!A289, "")</f>
        <v/>
      </c>
      <c r="B288" s="60"/>
      <c r="C288" s="25"/>
    </row>
    <row r="289" spans="1:3" x14ac:dyDescent="0.25">
      <c r="A289" s="24" t="str">
        <f>IF(('Project Overview'!A290) &lt;&gt; 0, 'Project Overview'!A290, "")</f>
        <v/>
      </c>
      <c r="B289" s="60"/>
      <c r="C289" s="25"/>
    </row>
    <row r="290" spans="1:3" x14ac:dyDescent="0.25">
      <c r="A290" s="24" t="str">
        <f>IF(('Project Overview'!A291) &lt;&gt; 0, 'Project Overview'!A291, "")</f>
        <v/>
      </c>
      <c r="B290" s="60"/>
      <c r="C290" s="25"/>
    </row>
    <row r="291" spans="1:3" x14ac:dyDescent="0.25">
      <c r="A291" s="24" t="str">
        <f>IF(('Project Overview'!A292) &lt;&gt; 0, 'Project Overview'!A292, "")</f>
        <v/>
      </c>
      <c r="B291" s="60"/>
      <c r="C291" s="25"/>
    </row>
    <row r="292" spans="1:3" x14ac:dyDescent="0.25">
      <c r="A292" s="24" t="str">
        <f>IF(('Project Overview'!A293) &lt;&gt; 0, 'Project Overview'!A293, "")</f>
        <v/>
      </c>
      <c r="B292" s="60"/>
      <c r="C292" s="25"/>
    </row>
    <row r="293" spans="1:3" x14ac:dyDescent="0.25">
      <c r="A293" s="24" t="str">
        <f>IF(('Project Overview'!A294) &lt;&gt; 0, 'Project Overview'!A294, "")</f>
        <v/>
      </c>
      <c r="B293" s="60"/>
      <c r="C293" s="25"/>
    </row>
    <row r="294" spans="1:3" x14ac:dyDescent="0.25">
      <c r="A294" s="24" t="str">
        <f>IF(('Project Overview'!A295) &lt;&gt; 0, 'Project Overview'!A295, "")</f>
        <v/>
      </c>
      <c r="B294" s="60"/>
      <c r="C294" s="25"/>
    </row>
    <row r="295" spans="1:3" x14ac:dyDescent="0.25">
      <c r="A295" s="24" t="str">
        <f>IF(('Project Overview'!A296) &lt;&gt; 0, 'Project Overview'!A296, "")</f>
        <v/>
      </c>
      <c r="B295" s="60"/>
      <c r="C295" s="25"/>
    </row>
    <row r="296" spans="1:3" x14ac:dyDescent="0.25">
      <c r="A296" s="24" t="str">
        <f>IF(('Project Overview'!A297) &lt;&gt; 0, 'Project Overview'!A297, "")</f>
        <v/>
      </c>
      <c r="B296" s="60"/>
      <c r="C296" s="25"/>
    </row>
    <row r="297" spans="1:3" x14ac:dyDescent="0.25">
      <c r="A297" s="24" t="str">
        <f>IF(('Project Overview'!A298) &lt;&gt; 0, 'Project Overview'!A298, "")</f>
        <v/>
      </c>
      <c r="B297" s="60"/>
      <c r="C297" s="25"/>
    </row>
    <row r="298" spans="1:3" x14ac:dyDescent="0.25">
      <c r="A298" s="24" t="str">
        <f>IF(('Project Overview'!A299) &lt;&gt; 0, 'Project Overview'!A299, "")</f>
        <v/>
      </c>
      <c r="B298" s="60"/>
      <c r="C298" s="25"/>
    </row>
    <row r="299" spans="1:3" x14ac:dyDescent="0.25">
      <c r="A299" s="24" t="str">
        <f>IF(('Project Overview'!A300) &lt;&gt; 0, 'Project Overview'!A300, "")</f>
        <v/>
      </c>
      <c r="B299" s="60"/>
      <c r="C299" s="25"/>
    </row>
    <row r="300" spans="1:3" x14ac:dyDescent="0.25">
      <c r="A300" s="24" t="str">
        <f>IF(('Project Overview'!A301) &lt;&gt; 0, 'Project Overview'!A301, "")</f>
        <v/>
      </c>
      <c r="B300" s="60"/>
      <c r="C300" s="25"/>
    </row>
    <row r="301" spans="1:3" x14ac:dyDescent="0.25">
      <c r="A301" s="24" t="str">
        <f>IF(('Project Overview'!A302) &lt;&gt; 0, 'Project Overview'!A302, "")</f>
        <v/>
      </c>
      <c r="B301" s="60"/>
      <c r="C301" s="25"/>
    </row>
    <row r="302" spans="1:3" x14ac:dyDescent="0.25">
      <c r="A302" s="24" t="str">
        <f>IF(('Project Overview'!A303) &lt;&gt; 0, 'Project Overview'!A303, "")</f>
        <v/>
      </c>
      <c r="B302" s="60"/>
      <c r="C302" s="25"/>
    </row>
    <row r="303" spans="1:3" x14ac:dyDescent="0.25">
      <c r="A303" s="24" t="str">
        <f>IF(('Project Overview'!A304) &lt;&gt; 0, 'Project Overview'!A304, "")</f>
        <v/>
      </c>
      <c r="B303" s="60"/>
      <c r="C303" s="25"/>
    </row>
    <row r="304" spans="1:3" x14ac:dyDescent="0.25">
      <c r="A304" s="24" t="str">
        <f>IF(('Project Overview'!A305) &lt;&gt; 0, 'Project Overview'!A305, "")</f>
        <v/>
      </c>
      <c r="B304" s="60"/>
      <c r="C304" s="25"/>
    </row>
    <row r="305" spans="1:3" x14ac:dyDescent="0.25">
      <c r="A305" s="24" t="str">
        <f>IF(('Project Overview'!A306) &lt;&gt; 0, 'Project Overview'!A306, "")</f>
        <v/>
      </c>
      <c r="B305" s="60"/>
      <c r="C305" s="25"/>
    </row>
    <row r="306" spans="1:3" x14ac:dyDescent="0.25">
      <c r="A306" s="24" t="str">
        <f>IF(('Project Overview'!A307) &lt;&gt; 0, 'Project Overview'!A307, "")</f>
        <v/>
      </c>
      <c r="B306" s="60"/>
      <c r="C306" s="25"/>
    </row>
    <row r="307" spans="1:3" x14ac:dyDescent="0.25">
      <c r="A307" s="24" t="str">
        <f>IF(('Project Overview'!A308) &lt;&gt; 0, 'Project Overview'!A308, "")</f>
        <v/>
      </c>
      <c r="B307" s="60"/>
      <c r="C307" s="25"/>
    </row>
    <row r="308" spans="1:3" x14ac:dyDescent="0.25">
      <c r="A308" s="24" t="str">
        <f>IF(('Project Overview'!A309) &lt;&gt; 0, 'Project Overview'!A309, "")</f>
        <v/>
      </c>
      <c r="B308" s="60"/>
      <c r="C308" s="25"/>
    </row>
    <row r="309" spans="1:3" x14ac:dyDescent="0.25">
      <c r="A309" s="24" t="str">
        <f>IF(('Project Overview'!A310) &lt;&gt; 0, 'Project Overview'!A310, "")</f>
        <v/>
      </c>
      <c r="B309" s="60"/>
      <c r="C309" s="25"/>
    </row>
    <row r="310" spans="1:3" x14ac:dyDescent="0.25">
      <c r="A310" s="24" t="str">
        <f>IF(('Project Overview'!A311) &lt;&gt; 0, 'Project Overview'!A311, "")</f>
        <v/>
      </c>
      <c r="B310" s="60"/>
      <c r="C310" s="25"/>
    </row>
    <row r="311" spans="1:3" x14ac:dyDescent="0.25">
      <c r="A311" s="24" t="str">
        <f>IF(('Project Overview'!A312) &lt;&gt; 0, 'Project Overview'!A312, "")</f>
        <v/>
      </c>
      <c r="B311" s="60"/>
      <c r="C311" s="25"/>
    </row>
    <row r="312" spans="1:3" x14ac:dyDescent="0.25">
      <c r="A312" s="24" t="str">
        <f>IF(('Project Overview'!A313) &lt;&gt; 0, 'Project Overview'!A313, "")</f>
        <v/>
      </c>
      <c r="B312" s="60"/>
      <c r="C312" s="25"/>
    </row>
    <row r="313" spans="1:3" x14ac:dyDescent="0.25">
      <c r="A313" s="24" t="str">
        <f>IF(('Project Overview'!A314) &lt;&gt; 0, 'Project Overview'!A314, "")</f>
        <v/>
      </c>
      <c r="B313" s="60"/>
      <c r="C313" s="25"/>
    </row>
    <row r="314" spans="1:3" x14ac:dyDescent="0.25">
      <c r="A314" s="24" t="str">
        <f>IF(('Project Overview'!A315) &lt;&gt; 0, 'Project Overview'!A315, "")</f>
        <v/>
      </c>
      <c r="B314" s="60"/>
      <c r="C314" s="25"/>
    </row>
    <row r="315" spans="1:3" x14ac:dyDescent="0.25">
      <c r="A315" s="24" t="str">
        <f>IF(('Project Overview'!A316) &lt;&gt; 0, 'Project Overview'!A316, "")</f>
        <v/>
      </c>
      <c r="B315" s="60"/>
      <c r="C315" s="25"/>
    </row>
    <row r="316" spans="1:3" x14ac:dyDescent="0.25">
      <c r="A316" s="24" t="str">
        <f>IF(('Project Overview'!A317) &lt;&gt; 0, 'Project Overview'!A317, "")</f>
        <v/>
      </c>
      <c r="B316" s="60"/>
      <c r="C316" s="25"/>
    </row>
    <row r="317" spans="1:3" x14ac:dyDescent="0.25">
      <c r="A317" s="24" t="str">
        <f>IF(('Project Overview'!A318) &lt;&gt; 0, 'Project Overview'!A318, "")</f>
        <v/>
      </c>
      <c r="B317" s="60"/>
      <c r="C317" s="25"/>
    </row>
    <row r="318" spans="1:3" x14ac:dyDescent="0.25">
      <c r="A318" s="24" t="str">
        <f>IF(('Project Overview'!A319) &lt;&gt; 0, 'Project Overview'!A319, "")</f>
        <v/>
      </c>
      <c r="B318" s="60"/>
      <c r="C318" s="25"/>
    </row>
    <row r="319" spans="1:3" x14ac:dyDescent="0.25">
      <c r="A319" s="24" t="str">
        <f>IF(('Project Overview'!A320) &lt;&gt; 0, 'Project Overview'!A320, "")</f>
        <v/>
      </c>
      <c r="B319" s="60"/>
      <c r="C319" s="25"/>
    </row>
    <row r="320" spans="1:3" x14ac:dyDescent="0.25">
      <c r="A320" s="24" t="str">
        <f>IF(('Project Overview'!A321) &lt;&gt; 0, 'Project Overview'!A321, "")</f>
        <v/>
      </c>
      <c r="B320" s="60"/>
      <c r="C320" s="25"/>
    </row>
    <row r="321" spans="1:3" x14ac:dyDescent="0.25">
      <c r="A321" s="24" t="str">
        <f>IF(('Project Overview'!A322) &lt;&gt; 0, 'Project Overview'!A322, "")</f>
        <v/>
      </c>
      <c r="B321" s="60"/>
      <c r="C321" s="25"/>
    </row>
    <row r="322" spans="1:3" x14ac:dyDescent="0.25">
      <c r="A322" s="24" t="str">
        <f>IF(('Project Overview'!A323) &lt;&gt; 0, 'Project Overview'!A323, "")</f>
        <v/>
      </c>
      <c r="B322" s="60"/>
      <c r="C322" s="25"/>
    </row>
    <row r="323" spans="1:3" x14ac:dyDescent="0.25">
      <c r="A323" s="24" t="str">
        <f>IF(('Project Overview'!A324) &lt;&gt; 0, 'Project Overview'!A324, "")</f>
        <v/>
      </c>
      <c r="B323" s="60"/>
      <c r="C323" s="25"/>
    </row>
    <row r="324" spans="1:3" x14ac:dyDescent="0.25">
      <c r="A324" s="24" t="str">
        <f>IF(('Project Overview'!A325) &lt;&gt; 0, 'Project Overview'!A325, "")</f>
        <v/>
      </c>
      <c r="B324" s="60"/>
      <c r="C324" s="25"/>
    </row>
    <row r="325" spans="1:3" x14ac:dyDescent="0.25">
      <c r="A325" s="24" t="str">
        <f>IF(('Project Overview'!A326) &lt;&gt; 0, 'Project Overview'!A326, "")</f>
        <v/>
      </c>
      <c r="B325" s="60"/>
      <c r="C325" s="25"/>
    </row>
    <row r="326" spans="1:3" x14ac:dyDescent="0.25">
      <c r="A326" s="24" t="str">
        <f>IF(('Project Overview'!A327) &lt;&gt; 0, 'Project Overview'!A327, "")</f>
        <v/>
      </c>
      <c r="B326" s="60"/>
      <c r="C326" s="25"/>
    </row>
    <row r="327" spans="1:3" x14ac:dyDescent="0.25">
      <c r="A327" s="24" t="str">
        <f>IF(('Project Overview'!A328) &lt;&gt; 0, 'Project Overview'!A328, "")</f>
        <v/>
      </c>
      <c r="B327" s="60"/>
      <c r="C327" s="25"/>
    </row>
    <row r="328" spans="1:3" x14ac:dyDescent="0.25">
      <c r="A328" s="24" t="str">
        <f>IF(('Project Overview'!A329) &lt;&gt; 0, 'Project Overview'!A329, "")</f>
        <v/>
      </c>
      <c r="B328" s="60"/>
      <c r="C328" s="25"/>
    </row>
    <row r="329" spans="1:3" x14ac:dyDescent="0.25">
      <c r="A329" s="24" t="str">
        <f>IF(('Project Overview'!A330) &lt;&gt; 0, 'Project Overview'!A330, "")</f>
        <v/>
      </c>
      <c r="B329" s="60"/>
      <c r="C329" s="25"/>
    </row>
    <row r="330" spans="1:3" x14ac:dyDescent="0.25">
      <c r="A330" s="24" t="str">
        <f>IF(('Project Overview'!A331) &lt;&gt; 0, 'Project Overview'!A331, "")</f>
        <v/>
      </c>
      <c r="B330" s="60"/>
      <c r="C330" s="25"/>
    </row>
    <row r="331" spans="1:3" x14ac:dyDescent="0.25">
      <c r="A331" s="24" t="str">
        <f>IF(('Project Overview'!A332) &lt;&gt; 0, 'Project Overview'!A332, "")</f>
        <v/>
      </c>
      <c r="B331" s="60"/>
      <c r="C331" s="25"/>
    </row>
    <row r="332" spans="1:3" x14ac:dyDescent="0.25">
      <c r="A332" s="24" t="str">
        <f>IF(('Project Overview'!A333) &lt;&gt; 0, 'Project Overview'!A333, "")</f>
        <v/>
      </c>
      <c r="B332" s="60"/>
      <c r="C332" s="25"/>
    </row>
    <row r="333" spans="1:3" x14ac:dyDescent="0.25">
      <c r="A333" s="24" t="str">
        <f>IF(('Project Overview'!A334) &lt;&gt; 0, 'Project Overview'!A334, "")</f>
        <v/>
      </c>
      <c r="B333" s="60"/>
      <c r="C333" s="25"/>
    </row>
    <row r="334" spans="1:3" x14ac:dyDescent="0.25">
      <c r="A334" s="24" t="str">
        <f>IF(('Project Overview'!A335) &lt;&gt; 0, 'Project Overview'!A335, "")</f>
        <v/>
      </c>
      <c r="B334" s="60"/>
      <c r="C334" s="25"/>
    </row>
    <row r="335" spans="1:3" x14ac:dyDescent="0.25">
      <c r="A335" s="24" t="str">
        <f>IF(('Project Overview'!A336) &lt;&gt; 0, 'Project Overview'!A336, "")</f>
        <v/>
      </c>
      <c r="B335" s="60"/>
      <c r="C335" s="25"/>
    </row>
    <row r="336" spans="1:3" x14ac:dyDescent="0.25">
      <c r="A336" s="24" t="str">
        <f>IF(('Project Overview'!A337) &lt;&gt; 0, 'Project Overview'!A337, "")</f>
        <v/>
      </c>
      <c r="B336" s="60"/>
      <c r="C336" s="25"/>
    </row>
    <row r="337" spans="1:3" x14ac:dyDescent="0.25">
      <c r="A337" s="24" t="str">
        <f>IF(('Project Overview'!A338) &lt;&gt; 0, 'Project Overview'!A338, "")</f>
        <v/>
      </c>
      <c r="B337" s="60"/>
      <c r="C337" s="25"/>
    </row>
    <row r="338" spans="1:3" x14ac:dyDescent="0.25">
      <c r="A338" s="24" t="str">
        <f>IF(('Project Overview'!A339) &lt;&gt; 0, 'Project Overview'!A339, "")</f>
        <v/>
      </c>
      <c r="B338" s="60"/>
      <c r="C338" s="25"/>
    </row>
    <row r="339" spans="1:3" x14ac:dyDescent="0.25">
      <c r="A339" s="24" t="str">
        <f>IF(('Project Overview'!A340) &lt;&gt; 0, 'Project Overview'!A340, "")</f>
        <v/>
      </c>
      <c r="B339" s="60"/>
      <c r="C339" s="25"/>
    </row>
    <row r="340" spans="1:3" x14ac:dyDescent="0.25">
      <c r="A340" s="24" t="str">
        <f>IF(('Project Overview'!A341) &lt;&gt; 0, 'Project Overview'!A341, "")</f>
        <v/>
      </c>
      <c r="B340" s="60"/>
      <c r="C340" s="25"/>
    </row>
    <row r="341" spans="1:3" x14ac:dyDescent="0.25">
      <c r="A341" s="24" t="str">
        <f>IF(('Project Overview'!A342) &lt;&gt; 0, 'Project Overview'!A342, "")</f>
        <v/>
      </c>
      <c r="B341" s="60"/>
      <c r="C341" s="25"/>
    </row>
    <row r="342" spans="1:3" x14ac:dyDescent="0.25">
      <c r="A342" s="24" t="str">
        <f>IF(('Project Overview'!A343) &lt;&gt; 0, 'Project Overview'!A343, "")</f>
        <v/>
      </c>
      <c r="B342" s="60"/>
      <c r="C342" s="25"/>
    </row>
    <row r="343" spans="1:3" x14ac:dyDescent="0.25">
      <c r="A343" s="24" t="str">
        <f>IF(('Project Overview'!A344) &lt;&gt; 0, 'Project Overview'!A344, "")</f>
        <v/>
      </c>
      <c r="B343" s="60"/>
      <c r="C343" s="25"/>
    </row>
    <row r="344" spans="1:3" x14ac:dyDescent="0.25">
      <c r="A344" s="24" t="str">
        <f>IF(('Project Overview'!A345) &lt;&gt; 0, 'Project Overview'!A345, "")</f>
        <v/>
      </c>
      <c r="B344" s="60"/>
      <c r="C344" s="25"/>
    </row>
    <row r="345" spans="1:3" x14ac:dyDescent="0.25">
      <c r="A345" s="24" t="str">
        <f>IF(('Project Overview'!A346) &lt;&gt; 0, 'Project Overview'!A346, "")</f>
        <v/>
      </c>
      <c r="B345" s="60"/>
      <c r="C345" s="25"/>
    </row>
    <row r="346" spans="1:3" x14ac:dyDescent="0.25">
      <c r="A346" s="24" t="str">
        <f>IF(('Project Overview'!A347) &lt;&gt; 0, 'Project Overview'!A347, "")</f>
        <v/>
      </c>
      <c r="B346" s="60"/>
      <c r="C346" s="25"/>
    </row>
    <row r="347" spans="1:3" x14ac:dyDescent="0.25">
      <c r="A347" s="24" t="str">
        <f>IF(('Project Overview'!A348) &lt;&gt; 0, 'Project Overview'!A348, "")</f>
        <v/>
      </c>
      <c r="B347" s="60"/>
      <c r="C347" s="25"/>
    </row>
    <row r="348" spans="1:3" x14ac:dyDescent="0.25">
      <c r="A348" s="24" t="str">
        <f>IF(('Project Overview'!A349) &lt;&gt; 0, 'Project Overview'!A349, "")</f>
        <v/>
      </c>
      <c r="B348" s="60"/>
      <c r="C348" s="25"/>
    </row>
    <row r="349" spans="1:3" x14ac:dyDescent="0.25">
      <c r="A349" s="24" t="str">
        <f>IF(('Project Overview'!A350) &lt;&gt; 0, 'Project Overview'!A350, "")</f>
        <v/>
      </c>
      <c r="B349" s="60"/>
      <c r="C349" s="25"/>
    </row>
    <row r="350" spans="1:3" x14ac:dyDescent="0.25">
      <c r="A350" s="24" t="str">
        <f>IF(('Project Overview'!A351) &lt;&gt; 0, 'Project Overview'!A351, "")</f>
        <v/>
      </c>
      <c r="B350" s="60"/>
      <c r="C350" s="25"/>
    </row>
    <row r="351" spans="1:3" x14ac:dyDescent="0.25">
      <c r="A351" s="24" t="str">
        <f>IF(('Project Overview'!A352) &lt;&gt; 0, 'Project Overview'!A352, "")</f>
        <v/>
      </c>
      <c r="B351" s="60"/>
      <c r="C351" s="25"/>
    </row>
    <row r="352" spans="1:3" x14ac:dyDescent="0.25">
      <c r="A352" s="24" t="str">
        <f>IF(('Project Overview'!A353) &lt;&gt; 0, 'Project Overview'!A353, "")</f>
        <v/>
      </c>
      <c r="B352" s="60"/>
      <c r="C352" s="25"/>
    </row>
    <row r="353" spans="1:3" x14ac:dyDescent="0.25">
      <c r="A353" s="24" t="str">
        <f>IF(('Project Overview'!A354) &lt;&gt; 0, 'Project Overview'!A354, "")</f>
        <v/>
      </c>
      <c r="B353" s="60"/>
      <c r="C353" s="25"/>
    </row>
    <row r="354" spans="1:3" x14ac:dyDescent="0.25">
      <c r="A354" s="24" t="str">
        <f>IF(('Project Overview'!A355) &lt;&gt; 0, 'Project Overview'!A355, "")</f>
        <v/>
      </c>
      <c r="B354" s="60"/>
      <c r="C354" s="2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BE80-7BE0-4F70-B164-933782A9E376}">
  <sheetPr>
    <tabColor theme="5"/>
  </sheetPr>
  <dimension ref="A1:C2"/>
  <sheetViews>
    <sheetView workbookViewId="0">
      <selection activeCell="A2" sqref="A2"/>
    </sheetView>
  </sheetViews>
  <sheetFormatPr defaultColWidth="8.85546875" defaultRowHeight="15" x14ac:dyDescent="0.25"/>
  <cols>
    <col min="1" max="1" width="18.7109375" style="4" customWidth="1"/>
    <col min="2" max="2" width="91.140625" style="5" customWidth="1"/>
    <col min="3" max="3" width="75.7109375" style="2" customWidth="1"/>
  </cols>
  <sheetData>
    <row r="1" spans="1:3" ht="29.25" thickBot="1" x14ac:dyDescent="0.3">
      <c r="A1" s="11" t="s">
        <v>364</v>
      </c>
      <c r="B1" s="134" t="s">
        <v>480</v>
      </c>
      <c r="C1" s="135" t="s">
        <v>481</v>
      </c>
    </row>
    <row r="2" spans="1:3" ht="63.6" customHeight="1" x14ac:dyDescent="0.25">
      <c r="A2" s="35"/>
      <c r="B2" s="67"/>
      <c r="C2" s="73"/>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95E6A-13BA-4C09-BABD-0D94018C7A96}">
  <dimension ref="A1:D7"/>
  <sheetViews>
    <sheetView zoomScale="90" workbookViewId="0">
      <selection activeCell="C6" sqref="C6"/>
    </sheetView>
  </sheetViews>
  <sheetFormatPr defaultRowHeight="15" x14ac:dyDescent="0.25"/>
  <cols>
    <col min="1" max="1" width="16.7109375" customWidth="1"/>
    <col min="2" max="2" width="31" customWidth="1"/>
    <col min="3" max="3" width="39.85546875" customWidth="1"/>
    <col min="4" max="4" width="40.7109375" customWidth="1"/>
  </cols>
  <sheetData>
    <row r="1" spans="1:4" s="114" customFormat="1" ht="15.75" x14ac:dyDescent="0.25">
      <c r="A1" s="114" t="s">
        <v>482</v>
      </c>
      <c r="B1" s="114" t="s">
        <v>483</v>
      </c>
      <c r="C1" s="114" t="s">
        <v>484</v>
      </c>
      <c r="D1" s="114" t="s">
        <v>485</v>
      </c>
    </row>
    <row r="2" spans="1:4" ht="123.75" customHeight="1" x14ac:dyDescent="0.25">
      <c r="A2" s="347" t="s">
        <v>486</v>
      </c>
      <c r="B2" s="348" t="s">
        <v>487</v>
      </c>
      <c r="C2" s="86" t="s">
        <v>520</v>
      </c>
      <c r="D2" s="348" t="s">
        <v>488</v>
      </c>
    </row>
    <row r="3" spans="1:4" ht="135" customHeight="1" x14ac:dyDescent="0.25">
      <c r="B3" s="348" t="s">
        <v>489</v>
      </c>
      <c r="C3" s="86" t="s">
        <v>521</v>
      </c>
      <c r="D3" s="348" t="s">
        <v>490</v>
      </c>
    </row>
    <row r="4" spans="1:4" ht="75" x14ac:dyDescent="0.25">
      <c r="B4" s="348" t="s">
        <v>491</v>
      </c>
      <c r="C4" s="86" t="s">
        <v>522</v>
      </c>
      <c r="D4" s="348" t="s">
        <v>492</v>
      </c>
    </row>
    <row r="5" spans="1:4" ht="120" x14ac:dyDescent="0.25">
      <c r="B5" s="348" t="s">
        <v>493</v>
      </c>
      <c r="C5" s="86" t="s">
        <v>523</v>
      </c>
      <c r="D5" s="349"/>
    </row>
    <row r="6" spans="1:4" x14ac:dyDescent="0.25">
      <c r="D6" s="348"/>
    </row>
    <row r="7" spans="1:4" x14ac:dyDescent="0.25">
      <c r="D7" s="348"/>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C3210-C588-43A6-96C9-8109EBF374C6}">
  <sheetPr>
    <tabColor theme="1"/>
  </sheetPr>
  <dimension ref="A1:D36"/>
  <sheetViews>
    <sheetView workbookViewId="0">
      <selection activeCell="C8" sqref="C8"/>
    </sheetView>
  </sheetViews>
  <sheetFormatPr defaultColWidth="8.85546875" defaultRowHeight="15" x14ac:dyDescent="0.25"/>
  <cols>
    <col min="1" max="1" width="34" customWidth="1"/>
    <col min="2" max="2" width="22.7109375" bestFit="1" customWidth="1"/>
    <col min="3" max="3" width="25.140625" bestFit="1" customWidth="1"/>
    <col min="4" max="4" width="14.85546875" bestFit="1" customWidth="1"/>
  </cols>
  <sheetData>
    <row r="1" spans="1:4" x14ac:dyDescent="0.25">
      <c r="A1" s="1" t="s">
        <v>494</v>
      </c>
      <c r="B1" s="1" t="s">
        <v>495</v>
      </c>
      <c r="C1" s="1" t="s">
        <v>496</v>
      </c>
      <c r="D1" s="1" t="s">
        <v>497</v>
      </c>
    </row>
    <row r="2" spans="1:4" x14ac:dyDescent="0.25">
      <c r="A2" t="s">
        <v>498</v>
      </c>
      <c r="D2" s="163" t="s">
        <v>221</v>
      </c>
    </row>
    <row r="3" spans="1:4" x14ac:dyDescent="0.25">
      <c r="A3" t="s">
        <v>224</v>
      </c>
      <c r="D3" s="163" t="s">
        <v>499</v>
      </c>
    </row>
    <row r="4" spans="1:4" x14ac:dyDescent="0.25">
      <c r="A4" t="s">
        <v>223</v>
      </c>
      <c r="D4" s="163" t="s">
        <v>203</v>
      </c>
    </row>
    <row r="5" spans="1:4" x14ac:dyDescent="0.25">
      <c r="A5" t="s">
        <v>257</v>
      </c>
      <c r="D5" s="163" t="s">
        <v>246</v>
      </c>
    </row>
    <row r="6" spans="1:4" x14ac:dyDescent="0.25">
      <c r="A6" t="s">
        <v>276</v>
      </c>
      <c r="D6" t="s">
        <v>190</v>
      </c>
    </row>
    <row r="7" spans="1:4" x14ac:dyDescent="0.25">
      <c r="A7" t="s">
        <v>215</v>
      </c>
      <c r="D7" s="163" t="s">
        <v>241</v>
      </c>
    </row>
    <row r="8" spans="1:4" x14ac:dyDescent="0.25">
      <c r="A8" t="s">
        <v>500</v>
      </c>
      <c r="D8" t="s">
        <v>212</v>
      </c>
    </row>
    <row r="9" spans="1:4" x14ac:dyDescent="0.25">
      <c r="A9" t="s">
        <v>242</v>
      </c>
    </row>
    <row r="10" spans="1:4" x14ac:dyDescent="0.25">
      <c r="A10" t="s">
        <v>214</v>
      </c>
    </row>
    <row r="11" spans="1:4" x14ac:dyDescent="0.25">
      <c r="A11" t="s">
        <v>195</v>
      </c>
    </row>
    <row r="12" spans="1:4" x14ac:dyDescent="0.25">
      <c r="A12" t="s">
        <v>501</v>
      </c>
    </row>
    <row r="13" spans="1:4" x14ac:dyDescent="0.25">
      <c r="A13" t="s">
        <v>287</v>
      </c>
    </row>
    <row r="14" spans="1:4" x14ac:dyDescent="0.25">
      <c r="A14" t="s">
        <v>502</v>
      </c>
    </row>
    <row r="15" spans="1:4" x14ac:dyDescent="0.25">
      <c r="A15" t="s">
        <v>225</v>
      </c>
    </row>
    <row r="16" spans="1:4" x14ac:dyDescent="0.25">
      <c r="A16" t="s">
        <v>282</v>
      </c>
    </row>
    <row r="17" spans="1:1" x14ac:dyDescent="0.25">
      <c r="A17" t="s">
        <v>503</v>
      </c>
    </row>
    <row r="18" spans="1:1" x14ac:dyDescent="0.25">
      <c r="A18" t="s">
        <v>504</v>
      </c>
    </row>
    <row r="19" spans="1:1" x14ac:dyDescent="0.25">
      <c r="A19" t="s">
        <v>247</v>
      </c>
    </row>
    <row r="20" spans="1:1" x14ac:dyDescent="0.25">
      <c r="A20" t="s">
        <v>269</v>
      </c>
    </row>
    <row r="21" spans="1:1" x14ac:dyDescent="0.25">
      <c r="A21" t="s">
        <v>194</v>
      </c>
    </row>
    <row r="22" spans="1:1" x14ac:dyDescent="0.25">
      <c r="A22" t="s">
        <v>311</v>
      </c>
    </row>
    <row r="23" spans="1:1" x14ac:dyDescent="0.25">
      <c r="A23" t="s">
        <v>231</v>
      </c>
    </row>
    <row r="24" spans="1:1" x14ac:dyDescent="0.25">
      <c r="A24" t="s">
        <v>252</v>
      </c>
    </row>
    <row r="25" spans="1:1" x14ac:dyDescent="0.25">
      <c r="A25" t="s">
        <v>505</v>
      </c>
    </row>
    <row r="26" spans="1:1" x14ac:dyDescent="0.25">
      <c r="A26" t="s">
        <v>506</v>
      </c>
    </row>
    <row r="27" spans="1:1" x14ac:dyDescent="0.25">
      <c r="A27" t="s">
        <v>206</v>
      </c>
    </row>
    <row r="28" spans="1:1" x14ac:dyDescent="0.25">
      <c r="A28" t="s">
        <v>196</v>
      </c>
    </row>
    <row r="29" spans="1:1" x14ac:dyDescent="0.25">
      <c r="A29" t="s">
        <v>236</v>
      </c>
    </row>
    <row r="30" spans="1:1" x14ac:dyDescent="0.25">
      <c r="A30" t="s">
        <v>207</v>
      </c>
    </row>
    <row r="31" spans="1:1" x14ac:dyDescent="0.25">
      <c r="A31" t="s">
        <v>305</v>
      </c>
    </row>
    <row r="32" spans="1:1" x14ac:dyDescent="0.25">
      <c r="A32" t="s">
        <v>507</v>
      </c>
    </row>
    <row r="33" spans="1:1" x14ac:dyDescent="0.25">
      <c r="A33" t="s">
        <v>232</v>
      </c>
    </row>
    <row r="34" spans="1:1" x14ac:dyDescent="0.25">
      <c r="A34" t="s">
        <v>508</v>
      </c>
    </row>
    <row r="35" spans="1:1" x14ac:dyDescent="0.25">
      <c r="A35" t="s">
        <v>277</v>
      </c>
    </row>
    <row r="36" spans="1:1" x14ac:dyDescent="0.25">
      <c r="A36" t="s">
        <v>213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DDEECBB366FE644A0DEB8EE99A7249B" ma:contentTypeVersion="14" ma:contentTypeDescription="Create a new document." ma:contentTypeScope="" ma:versionID="1e248704933e243a1534a7c3d0aa31a6">
  <xsd:schema xmlns:xsd="http://www.w3.org/2001/XMLSchema" xmlns:xs="http://www.w3.org/2001/XMLSchema" xmlns:p="http://schemas.microsoft.com/office/2006/metadata/properties" xmlns:ns2="ec09b435-12db-452d-b120-8406985871a5" xmlns:ns3="ec02b98a-6efd-4dd5-990b-8002c531b51d" xmlns:ns4="31062a0d-ede8-4112-b4bb-00a9c1bc8e16" targetNamespace="http://schemas.microsoft.com/office/2006/metadata/properties" ma:root="true" ma:fieldsID="2f4c5cb78a6d1ad66a0fe1e89f6f70c1" ns2:_="" ns3:_="" ns4:_="">
    <xsd:import namespace="ec09b435-12db-452d-b120-8406985871a5"/>
    <xsd:import namespace="ec02b98a-6efd-4dd5-990b-8002c531b51d"/>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09b435-12db-452d-b120-8406985871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c02b98a-6efd-4dd5-990b-8002c531b51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4083f45-2fc6-4265-a5fc-f6c266055991}" ma:internalName="TaxCatchAll" ma:showField="CatchAllData" ma:web="ec02b98a-6efd-4dd5-990b-8002c531b5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ec02b98a-6efd-4dd5-990b-8002c531b51d">
      <UserInfo>
        <DisplayName>GS-WMA-WRRA Members</DisplayName>
        <AccountId>6</AccountId>
        <AccountType/>
      </UserInfo>
      <UserInfo>
        <DisplayName>Everyone</DisplayName>
        <AccountId>11</AccountId>
        <AccountType/>
      </UserInfo>
      <UserInfo>
        <DisplayName>Everyone except external users</DisplayName>
        <AccountId>10</AccountId>
        <AccountType/>
      </UserInfo>
      <UserInfo>
        <DisplayName>Jones, Phillip B</DisplayName>
        <AccountId>17</AccountId>
        <AccountType/>
      </UserInfo>
      <UserInfo>
        <DisplayName>Abdirahman, Ismael A</DisplayName>
        <AccountId>18</AccountId>
        <AccountType/>
      </UserInfo>
      <UserInfo>
        <DisplayName>Szabo, Zoltan</DisplayName>
        <AccountId>162</AccountId>
        <AccountType/>
      </UserInfo>
      <UserInfo>
        <DisplayName>Orr, Tade W</DisplayName>
        <AccountId>7</AccountId>
        <AccountType/>
      </UserInfo>
    </SharedWithUsers>
    <lcf76f155ced4ddcb4097134ff3c332f xmlns="ec09b435-12db-452d-b120-8406985871a5">
      <Terms xmlns="http://schemas.microsoft.com/office/infopath/2007/PartnerControls"/>
    </lcf76f155ced4ddcb4097134ff3c332f>
    <TaxCatchAll xmlns="31062a0d-ede8-4112-b4bb-00a9c1bc8e16" xsi:nil="true"/>
  </documentManagement>
</p:properties>
</file>

<file path=customXml/itemProps1.xml><?xml version="1.0" encoding="utf-8"?>
<ds:datastoreItem xmlns:ds="http://schemas.openxmlformats.org/officeDocument/2006/customXml" ds:itemID="{24BBA1E3-B571-46E4-AB5D-C271EB4150FB}">
  <ds:schemaRefs>
    <ds:schemaRef ds:uri="http://schemas.microsoft.com/sharepoint/v3/contenttype/forms"/>
  </ds:schemaRefs>
</ds:datastoreItem>
</file>

<file path=customXml/itemProps2.xml><?xml version="1.0" encoding="utf-8"?>
<ds:datastoreItem xmlns:ds="http://schemas.openxmlformats.org/officeDocument/2006/customXml" ds:itemID="{2CFBC97B-D80A-4B0A-97F1-74BDD1FFA2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09b435-12db-452d-b120-8406985871a5"/>
    <ds:schemaRef ds:uri="ec02b98a-6efd-4dd5-990b-8002c531b51d"/>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A1949D-DF22-4718-865D-2D786D4F4E82}">
  <ds:schemaRefs>
    <ds:schemaRef ds:uri="http://schemas.microsoft.com/office/2006/metadata/properties"/>
    <ds:schemaRef ds:uri="http://schemas.microsoft.com/office/infopath/2007/PartnerControls"/>
    <ds:schemaRef ds:uri="ec02b98a-6efd-4dd5-990b-8002c531b51d"/>
    <ds:schemaRef ds:uri="ec09b435-12db-452d-b120-8406985871a5"/>
    <ds:schemaRef ds:uri="31062a0d-ede8-4112-b4bb-00a9c1bc8e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Info</vt:lpstr>
      <vt:lpstr>Institute Background</vt:lpstr>
      <vt:lpstr>Advisory Board</vt:lpstr>
      <vt:lpstr>Scientific Integrity</vt:lpstr>
      <vt:lpstr>By Year Summary</vt:lpstr>
      <vt:lpstr>Significant Impact</vt:lpstr>
      <vt:lpstr>Project Overview</vt:lpstr>
      <vt:lpstr>Project Summaries</vt:lpstr>
      <vt:lpstr>Equipment</vt:lpstr>
      <vt:lpstr>doi_Products_ONLY</vt:lpstr>
      <vt:lpstr>otherProducts</vt:lpstr>
      <vt:lpstr>Awards-Achievements-Grants</vt:lpstr>
      <vt:lpstr>social media</vt:lpstr>
      <vt:lpstr>Conference Presentations</vt:lpstr>
      <vt:lpstr>Education and Outreach</vt:lpstr>
      <vt:lpstr>USGS Collaboration</vt:lpstr>
      <vt:lpstr>Other Activity</vt:lpstr>
      <vt:lpstr>2019_IL_Eval_results</vt:lpstr>
      <vt:lpstr>Keyword_drop_down_options</vt:lpstr>
      <vt:lpstr>'Project Summaries'!_Hlk107499372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Williamson, Tanja N.</dc:creator>
  <cp:keywords/>
  <dc:description/>
  <cp:lastModifiedBy>Amy Weckle</cp:lastModifiedBy>
  <cp:revision/>
  <cp:lastPrinted>2023-08-24T18:28:17Z</cp:lastPrinted>
  <dcterms:created xsi:type="dcterms:W3CDTF">2022-07-22T17:06:46Z</dcterms:created>
  <dcterms:modified xsi:type="dcterms:W3CDTF">2023-08-25T18:06:08Z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0x010100ADDEECBB366FE644A0DEB8EE99A7249B</vt:lpwstr>
  </property>
  <property fmtid="{D5CDD505-2E9C-101B-9397-08002B2CF9AE}" pid="3" name="MediaServiceImageTags">
    <vt:lpwstr/>
  </property>
</Properties>
</file>